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4246F042-C33C-4989-8FA3-1A48C87CCC9C}" xr6:coauthVersionLast="36" xr6:coauthVersionMax="36" xr10:uidLastSave="{00000000-0000-0000-0000-000000000000}"/>
  <bookViews>
    <workbookView xWindow="0" yWindow="0" windowWidth="14380" windowHeight="4520" activeTab="4" xr2:uid="{80B590A0-26F3-4C00-B82F-AB5BC9851E2A}"/>
  </bookViews>
  <sheets>
    <sheet name="Sheet1" sheetId="1" r:id="rId1"/>
    <sheet name="DashBoard" sheetId="2" r:id="rId2"/>
    <sheet name="PRODUCTS" sheetId="6" r:id="rId3"/>
    <sheet name="sales_mans" sheetId="7" r:id="rId4"/>
    <sheet name="About" sheetId="8" r:id="rId5"/>
    <sheet name="Pivot" sheetId="3" r:id="rId6"/>
  </sheets>
  <definedNames>
    <definedName name="NativeTimeline_Date">#N/A</definedName>
    <definedName name="Slicer_Place">#N/A</definedName>
    <definedName name="Slicer_Produ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D56" i="3"/>
  <c r="D62" i="3"/>
</calcChain>
</file>

<file path=xl/sharedStrings.xml><?xml version="1.0" encoding="utf-8"?>
<sst xmlns="http://schemas.openxmlformats.org/spreadsheetml/2006/main" count="913" uniqueCount="42">
  <si>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</si>
  <si>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</si>
  <si>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</si>
  <si>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</si>
  <si>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</si>
  <si>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</si>
  <si>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</si>
  <si>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</si>
  <si>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</si>
  <si>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</si>
  <si>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</si>
  <si>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</si>
  <si>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</si>
  <si>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</si>
  <si>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</si>
  <si>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</si>
  <si>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</si>
  <si>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</si>
  <si>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</si>
  <si>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</si>
  <si>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</si>
  <si>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</si>
  <si>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</si>
  <si>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</si>
  <si>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</si>
  <si>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</si>
  <si>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</si>
  <si>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</si>
  <si>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Count of Amount</t>
  </si>
  <si>
    <t>Sum of Units</t>
  </si>
  <si>
    <t>Feb</t>
  </si>
  <si>
    <t>Mar</t>
  </si>
  <si>
    <t>Dec</t>
  </si>
  <si>
    <t>May</t>
  </si>
  <si>
    <t>Jul</t>
  </si>
  <si>
    <t>Sep</t>
  </si>
  <si>
    <t>Aug</t>
  </si>
  <si>
    <t>Jun</t>
  </si>
  <si>
    <t>Jan</t>
  </si>
  <si>
    <t>Apr</t>
  </si>
  <si>
    <t>Nov</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</si>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</sst>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3">
    <font>
      <sz val="11"/>
      <color theme="1"/>
      <name val="Aptos Narrow"/>
      <family val="2"/>
      <scheme val="minor"/>
    </font>
    <font>
      <b/>
      <sz val="14"/>
      <color rgb="FFFF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Project1.xlsx]Pivot!PivotTable1</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54605783447379E-2"/>
          <c:y val="0.15117450632807025"/>
          <c:w val="0.94509828192873269"/>
          <c:h val="0.65629881691924186"/>
        </c:manualLayout>
      </c:layout>
      <c:lineChart>
        <c:grouping val="stacked"/>
        <c:varyColors val="0"/>
        <c:ser>
          <c:idx val="0"/>
          <c:order val="0"/>
          <c:tx>
            <c:strRef>
              <c:f>Pivot!$B$1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Pivot!$B$2:$B$14</c:f>
              <c:numCache>
                <c:formatCode>General</c:formatCode>
                <c:ptCount val="12"/>
                <c:pt idx="0">
                  <c:v>1134731</c:v>
                </c:pt>
                <c:pt idx="1">
                  <c:v>2959241</c:v>
                </c:pt>
                <c:pt idx="2">
                  <c:v>190952</c:v>
                </c:pt>
                <c:pt idx="3">
                  <c:v>282446</c:v>
                </c:pt>
                <c:pt idx="4">
                  <c:v>749869</c:v>
                </c:pt>
                <c:pt idx="5">
                  <c:v>425409</c:v>
                </c:pt>
                <c:pt idx="6">
                  <c:v>2655948</c:v>
                </c:pt>
                <c:pt idx="7">
                  <c:v>1571476</c:v>
                </c:pt>
                <c:pt idx="8">
                  <c:v>1324327</c:v>
                </c:pt>
                <c:pt idx="9">
                  <c:v>4179650</c:v>
                </c:pt>
                <c:pt idx="10">
                  <c:v>109550</c:v>
                </c:pt>
                <c:pt idx="11">
                  <c:v>469086</c:v>
                </c:pt>
              </c:numCache>
            </c:numRef>
          </c:val>
          <c:smooth val="0"/>
          <c:extLst>
            <c:ext xmlns:c16="http://schemas.microsoft.com/office/drawing/2014/chart" uri="{C3380CC4-5D6E-409C-BE32-E72D297353CC}">
              <c16:uniqueId val="{00000000-5870-4F8C-AB22-1DF4B7EF4BB3}"/>
            </c:ext>
          </c:extLst>
        </c:ser>
        <c:dLbls>
          <c:showLegendKey val="0"/>
          <c:showVal val="0"/>
          <c:showCatName val="0"/>
          <c:showSerName val="0"/>
          <c:showPercent val="0"/>
          <c:showBubbleSize val="0"/>
        </c:dLbls>
        <c:marker val="1"/>
        <c:smooth val="0"/>
        <c:axId val="1268580608"/>
        <c:axId val="1409695696"/>
      </c:lineChart>
      <c:catAx>
        <c:axId val="1268580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695696"/>
        <c:crosses val="autoZero"/>
        <c:auto val="1"/>
        <c:lblAlgn val="ctr"/>
        <c:lblOffset val="100"/>
        <c:noMultiLvlLbl val="0"/>
      </c:catAx>
      <c:valAx>
        <c:axId val="1409695696"/>
        <c:scaling>
          <c:orientation val="minMax"/>
        </c:scaling>
        <c:delete val="1"/>
        <c:axPos val="l"/>
        <c:numFmt formatCode="General" sourceLinked="1"/>
        <c:majorTickMark val="out"/>
        <c:minorTickMark val="none"/>
        <c:tickLblPos val="nextTo"/>
        <c:crossAx val="12685806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Project1.xlsx]Pivot!PivotTable2</c:name>
    <c:fmtId val="11"/>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8633106254976E-2"/>
          <c:y val="0.11349820709031089"/>
          <c:w val="0.87547996107228176"/>
          <c:h val="0.74946324017190158"/>
        </c:manualLayout>
      </c:layout>
      <c:barChart>
        <c:barDir val="col"/>
        <c:grouping val="clustered"/>
        <c:varyColors val="0"/>
        <c:ser>
          <c:idx val="0"/>
          <c:order val="0"/>
          <c:tx>
            <c:strRef>
              <c:f>Pivot!$B$21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Pivot!$A$22:$A$23</c:f>
              <c:strCache>
                <c:ptCount val="1"/>
                <c:pt idx="0">
                  <c:v>Bapatla</c:v>
                </c:pt>
              </c:strCache>
            </c:strRef>
          </c:cat>
          <c:val>
            <c:numRef>
              <c:f>Pivot!$B$22:$B$23</c:f>
              <c:numCache>
                <c:formatCode>_ * #,##0_ ;_ * \-#,##0_ ;_ * "-"??_ ;_ @_ </c:formatCode>
                <c:ptCount val="1"/>
                <c:pt idx="0">
                  <c:v>16052685</c:v>
                </c:pt>
              </c:numCache>
            </c:numRef>
          </c:val>
          <c:extLst>
            <c:ext xmlns:c16="http://schemas.microsoft.com/office/drawing/2014/chart" uri="{C3380CC4-5D6E-409C-BE32-E72D297353CC}">
              <c16:uniqueId val="{00000000-1F36-4FA1-A6FE-3D0B181B87A1}"/>
            </c:ext>
          </c:extLst>
        </c:ser>
        <c:dLbls>
          <c:showLegendKey val="0"/>
          <c:showVal val="0"/>
          <c:showCatName val="0"/>
          <c:showSerName val="0"/>
          <c:showPercent val="0"/>
          <c:showBubbleSize val="0"/>
        </c:dLbls>
        <c:gapWidth val="164"/>
        <c:overlap val="-22"/>
        <c:axId val="32438144"/>
        <c:axId val="1267450160"/>
      </c:barChart>
      <c:catAx>
        <c:axId val="324381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50160"/>
        <c:crosses val="autoZero"/>
        <c:auto val="1"/>
        <c:lblAlgn val="ctr"/>
        <c:lblOffset val="100"/>
        <c:noMultiLvlLbl val="0"/>
      </c:catAx>
      <c:valAx>
        <c:axId val="1267450160"/>
        <c:scaling>
          <c:orientation val="minMax"/>
        </c:scaling>
        <c:delete val="1"/>
        <c:axPos val="l"/>
        <c:numFmt formatCode="_ * #,##0_ ;_ * \-#,##0_ ;_ * &quot;-&quot;??_ ;_ @_ " sourceLinked="1"/>
        <c:majorTickMark val="none"/>
        <c:minorTickMark val="none"/>
        <c:tickLblPos val="nextTo"/>
        <c:crossAx val="32438144"/>
        <c:crosses val="autoZero"/>
        <c:crossBetween val="between"/>
      </c:valAx>
      <c:spPr>
        <a:solidFill>
          <a:schemeClr val="bg1"/>
        </a:soli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2614824716098"/>
          <c:y val="6.2111479486116866E-2"/>
          <c:w val="0.81148753280839891"/>
          <c:h val="0.86335403726708071"/>
        </c:manualLayout>
      </c:layout>
      <c:barChart>
        <c:barDir val="bar"/>
        <c:grouping val="clustered"/>
        <c:varyColors val="0"/>
        <c:ser>
          <c:idx val="0"/>
          <c:order val="0"/>
          <c:tx>
            <c:strRef>
              <c:f>Pivot!$B$35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Pivot!$A$36:$A$42</c:f>
              <c:strCache>
                <c:ptCount val="6"/>
                <c:pt idx="0">
                  <c:v>4K LED TV's</c:v>
                </c:pt>
                <c:pt idx="1">
                  <c:v>Furniture</c:v>
                </c:pt>
                <c:pt idx="2">
                  <c:v>Laptops</c:v>
                </c:pt>
                <c:pt idx="3">
                  <c:v>LED TV's</c:v>
                </c:pt>
                <c:pt idx="4">
                  <c:v>Mobiles</c:v>
                </c:pt>
                <c:pt idx="5">
                  <c:v>Speakers</c:v>
                </c:pt>
              </c:strCache>
            </c:strRef>
          </c:cat>
          <c:val>
            <c:numRef>
              <c:f>Pivot!$B$36:$B$42</c:f>
              <c:numCache>
                <c:formatCode>General</c:formatCode>
                <c:ptCount val="6"/>
                <c:pt idx="0">
                  <c:v>8033528</c:v>
                </c:pt>
                <c:pt idx="1">
                  <c:v>1085262</c:v>
                </c:pt>
                <c:pt idx="2">
                  <c:v>5474977</c:v>
                </c:pt>
                <c:pt idx="3">
                  <c:v>481552</c:v>
                </c:pt>
                <c:pt idx="4">
                  <c:v>492878</c:v>
                </c:pt>
                <c:pt idx="5">
                  <c:v>484488</c:v>
                </c:pt>
              </c:numCache>
            </c:numRef>
          </c:val>
          <c:extLst>
            <c:ext xmlns:c16="http://schemas.microsoft.com/office/drawing/2014/chart" uri="{C3380CC4-5D6E-409C-BE32-E72D297353CC}">
              <c16:uniqueId val="{00000000-B227-4C43-A669-46FB3B720D5E}"/>
            </c:ext>
          </c:extLst>
        </c:ser>
        <c:dLbls>
          <c:showLegendKey val="0"/>
          <c:showVal val="0"/>
          <c:showCatName val="0"/>
          <c:showSerName val="0"/>
          <c:showPercent val="0"/>
          <c:showBubbleSize val="0"/>
        </c:dLbls>
        <c:gapWidth val="182"/>
        <c:axId val="270437520"/>
        <c:axId val="1411219184"/>
      </c:barChart>
      <c:catAx>
        <c:axId val="27043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19184"/>
        <c:crosses val="autoZero"/>
        <c:auto val="1"/>
        <c:lblAlgn val="ctr"/>
        <c:lblOffset val="100"/>
        <c:noMultiLvlLbl val="0"/>
      </c:catAx>
      <c:valAx>
        <c:axId val="1411219184"/>
        <c:scaling>
          <c:orientation val="minMax"/>
        </c:scaling>
        <c:delete val="1"/>
        <c:axPos val="b"/>
        <c:numFmt formatCode="General" sourceLinked="1"/>
        <c:majorTickMark val="none"/>
        <c:minorTickMark val="none"/>
        <c:tickLblPos val="nextTo"/>
        <c:crossAx val="270437520"/>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Project1.xlsx]Pivot!PivotTable7</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791338582677"/>
          <c:y val="0.143646408839779"/>
          <c:w val="0.7861541994750656"/>
          <c:h val="0.62211858876756432"/>
        </c:manualLayout>
      </c:layout>
      <c:barChart>
        <c:barDir val="bar"/>
        <c:grouping val="stacked"/>
        <c:varyColors val="0"/>
        <c:ser>
          <c:idx val="0"/>
          <c:order val="0"/>
          <c:tx>
            <c:strRef>
              <c:f>Pivot!$B$69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92C-4508-B898-C0CECAC04708}"/>
              </c:ext>
            </c:extLst>
          </c:dPt>
          <c:dPt>
            <c:idx val="2"/>
            <c:invertIfNegative val="0"/>
            <c:bubble3D val="0"/>
            <c:extLst>
              <c:ext xmlns:c16="http://schemas.microsoft.com/office/drawing/2014/chart" uri="{C3380CC4-5D6E-409C-BE32-E72D297353CC}">
                <c16:uniqueId val="{00000002-CDE6-4F09-9848-5D47E0D87365}"/>
              </c:ext>
            </c:extLst>
          </c:dPt>
          <c:cat>
            <c:strRef>
              <c:f>Pivot!$A$70:$A$73</c:f>
              <c:strCache>
                <c:ptCount val="3"/>
                <c:pt idx="0">
                  <c:v>4K LED TV's</c:v>
                </c:pt>
                <c:pt idx="1">
                  <c:v>Speakers</c:v>
                </c:pt>
                <c:pt idx="2">
                  <c:v>Furniture</c:v>
                </c:pt>
              </c:strCache>
            </c:strRef>
          </c:cat>
          <c:val>
            <c:numRef>
              <c:f>Pivot!$B$70:$B$73</c:f>
              <c:numCache>
                <c:formatCode>General</c:formatCode>
                <c:ptCount val="3"/>
                <c:pt idx="0">
                  <c:v>334</c:v>
                </c:pt>
                <c:pt idx="1">
                  <c:v>310</c:v>
                </c:pt>
                <c:pt idx="2">
                  <c:v>244</c:v>
                </c:pt>
              </c:numCache>
            </c:numRef>
          </c:val>
          <c:extLst>
            <c:ext xmlns:c16="http://schemas.microsoft.com/office/drawing/2014/chart" uri="{C3380CC4-5D6E-409C-BE32-E72D297353CC}">
              <c16:uniqueId val="{00000001-A92C-4508-B898-C0CECAC04708}"/>
            </c:ext>
          </c:extLst>
        </c:ser>
        <c:dLbls>
          <c:showLegendKey val="0"/>
          <c:showVal val="0"/>
          <c:showCatName val="0"/>
          <c:showSerName val="0"/>
          <c:showPercent val="0"/>
          <c:showBubbleSize val="0"/>
        </c:dLbls>
        <c:gapWidth val="150"/>
        <c:overlap val="100"/>
        <c:axId val="843288224"/>
        <c:axId val="1521979504"/>
      </c:barChart>
      <c:catAx>
        <c:axId val="84328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79504"/>
        <c:crosses val="autoZero"/>
        <c:auto val="1"/>
        <c:lblAlgn val="ctr"/>
        <c:lblOffset val="100"/>
        <c:noMultiLvlLbl val="0"/>
      </c:catAx>
      <c:valAx>
        <c:axId val="152197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8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Project1.xlsx]Pivot!PivotTable8</c:name>
    <c:fmtId val="3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5003958880139984"/>
          <c:y val="9.5238095238095233E-2"/>
          <c:w val="0.80796041119860018"/>
          <c:h val="0.67430221222347209"/>
        </c:manualLayout>
      </c:layout>
      <c:barChart>
        <c:barDir val="bar"/>
        <c:grouping val="stacked"/>
        <c:varyColors val="0"/>
        <c:ser>
          <c:idx val="0"/>
          <c:order val="0"/>
          <c:tx>
            <c:strRef>
              <c:f>Pivot!$B$77</c:f>
              <c:strCache>
                <c:ptCount val="1"/>
                <c:pt idx="0">
                  <c:v>Total</c:v>
                </c:pt>
              </c:strCache>
            </c:strRef>
          </c:tx>
          <c:spPr>
            <a:solidFill>
              <a:schemeClr val="accent1"/>
            </a:solidFill>
            <a:ln>
              <a:noFill/>
            </a:ln>
            <a:effectLst/>
          </c:spPr>
          <c:invertIfNegative val="0"/>
          <c:cat>
            <c:strRef>
              <c:f>Pivot!$A$78:$A$81</c:f>
              <c:strCache>
                <c:ptCount val="3"/>
                <c:pt idx="0">
                  <c:v>4K LED TV's</c:v>
                </c:pt>
                <c:pt idx="1">
                  <c:v>Speakers</c:v>
                </c:pt>
                <c:pt idx="2">
                  <c:v>Furniture</c:v>
                </c:pt>
              </c:strCache>
            </c:strRef>
          </c:cat>
          <c:val>
            <c:numRef>
              <c:f>Pivot!$B$78:$B$81</c:f>
              <c:numCache>
                <c:formatCode>General</c:formatCode>
                <c:ptCount val="3"/>
                <c:pt idx="0">
                  <c:v>334</c:v>
                </c:pt>
                <c:pt idx="1">
                  <c:v>310</c:v>
                </c:pt>
                <c:pt idx="2">
                  <c:v>244</c:v>
                </c:pt>
              </c:numCache>
            </c:numRef>
          </c:val>
          <c:extLst>
            <c:ext xmlns:c16="http://schemas.microsoft.com/office/drawing/2014/chart" uri="{C3380CC4-5D6E-409C-BE32-E72D297353CC}">
              <c16:uniqueId val="{00000000-6D00-4CA2-B368-4D8E452F844F}"/>
            </c:ext>
          </c:extLst>
        </c:ser>
        <c:dLbls>
          <c:showLegendKey val="0"/>
          <c:showVal val="0"/>
          <c:showCatName val="0"/>
          <c:showSerName val="0"/>
          <c:showPercent val="0"/>
          <c:showBubbleSize val="0"/>
        </c:dLbls>
        <c:gapWidth val="150"/>
        <c:overlap val="100"/>
        <c:axId val="1653027568"/>
        <c:axId val="1411227920"/>
      </c:barChart>
      <c:catAx>
        <c:axId val="165302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27920"/>
        <c:crosses val="autoZero"/>
        <c:auto val="1"/>
        <c:lblAlgn val="ctr"/>
        <c:lblOffset val="100"/>
        <c:noMultiLvlLbl val="0"/>
      </c:catAx>
      <c:valAx>
        <c:axId val="1411227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2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Project1.xlsx]Pivot!PivotTable4</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42774566473986E-2"/>
          <c:y val="9.0909090909090912E-2"/>
          <c:w val="0.93641618497109824"/>
          <c:h val="0.79273777141493673"/>
        </c:manualLayout>
      </c:layout>
      <c:barChart>
        <c:barDir val="col"/>
        <c:grouping val="clustered"/>
        <c:varyColors val="0"/>
        <c:ser>
          <c:idx val="0"/>
          <c:order val="0"/>
          <c:tx>
            <c:strRef>
              <c:f>Pivot!$B$90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Pivot!$A$91:$A$97</c:f>
              <c:strCache>
                <c:ptCount val="6"/>
                <c:pt idx="0">
                  <c:v>4K LED TV's</c:v>
                </c:pt>
                <c:pt idx="1">
                  <c:v>Furniture</c:v>
                </c:pt>
                <c:pt idx="2">
                  <c:v>Laptops</c:v>
                </c:pt>
                <c:pt idx="3">
                  <c:v>LED TV's</c:v>
                </c:pt>
                <c:pt idx="4">
                  <c:v>Mobiles</c:v>
                </c:pt>
                <c:pt idx="5">
                  <c:v>Speakers</c:v>
                </c:pt>
              </c:strCache>
            </c:strRef>
          </c:cat>
          <c:val>
            <c:numRef>
              <c:f>Pivot!$B$91:$B$97</c:f>
              <c:numCache>
                <c:formatCode>General</c:formatCode>
                <c:ptCount val="6"/>
                <c:pt idx="0">
                  <c:v>334</c:v>
                </c:pt>
                <c:pt idx="1">
                  <c:v>244</c:v>
                </c:pt>
                <c:pt idx="2">
                  <c:v>216</c:v>
                </c:pt>
                <c:pt idx="3">
                  <c:v>230</c:v>
                </c:pt>
                <c:pt idx="4">
                  <c:v>178</c:v>
                </c:pt>
                <c:pt idx="5">
                  <c:v>310</c:v>
                </c:pt>
              </c:numCache>
            </c:numRef>
          </c:val>
          <c:extLst>
            <c:ext xmlns:c16="http://schemas.microsoft.com/office/drawing/2014/chart" uri="{C3380CC4-5D6E-409C-BE32-E72D297353CC}">
              <c16:uniqueId val="{00000000-1451-4A09-A6F2-3C16EB76C54E}"/>
            </c:ext>
          </c:extLst>
        </c:ser>
        <c:dLbls>
          <c:showLegendKey val="0"/>
          <c:showVal val="0"/>
          <c:showCatName val="0"/>
          <c:showSerName val="0"/>
          <c:showPercent val="0"/>
          <c:showBubbleSize val="0"/>
        </c:dLbls>
        <c:gapWidth val="219"/>
        <c:overlap val="-27"/>
        <c:axId val="813122319"/>
        <c:axId val="813785935"/>
      </c:barChart>
      <c:catAx>
        <c:axId val="81312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785935"/>
        <c:crosses val="autoZero"/>
        <c:auto val="1"/>
        <c:lblAlgn val="ctr"/>
        <c:lblOffset val="100"/>
        <c:noMultiLvlLbl val="0"/>
      </c:catAx>
      <c:valAx>
        <c:axId val="813785935"/>
        <c:scaling>
          <c:orientation val="minMax"/>
        </c:scaling>
        <c:delete val="1"/>
        <c:axPos val="l"/>
        <c:numFmt formatCode="General" sourceLinked="1"/>
        <c:majorTickMark val="none"/>
        <c:minorTickMark val="none"/>
        <c:tickLblPos val="nextTo"/>
        <c:crossAx val="81312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Project1.xlsx]Pivot!PivotTable9</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Pivot!$A$105:$A$111</c:f>
              <c:strCache>
                <c:ptCount val="6"/>
                <c:pt idx="0">
                  <c:v>Ganesh</c:v>
                </c:pt>
                <c:pt idx="1">
                  <c:v>Gopi</c:v>
                </c:pt>
                <c:pt idx="2">
                  <c:v>Kiran</c:v>
                </c:pt>
                <c:pt idx="3">
                  <c:v>Mahesh</c:v>
                </c:pt>
                <c:pt idx="4">
                  <c:v>Prathap</c:v>
                </c:pt>
                <c:pt idx="5">
                  <c:v>Ramesh</c:v>
                </c:pt>
              </c:strCache>
            </c:strRef>
          </c:cat>
          <c:val>
            <c:numRef>
              <c:f>Pivot!$B$105:$B$111</c:f>
              <c:numCache>
                <c:formatCode>General</c:formatCode>
                <c:ptCount val="6"/>
                <c:pt idx="0">
                  <c:v>327</c:v>
                </c:pt>
                <c:pt idx="1">
                  <c:v>251</c:v>
                </c:pt>
                <c:pt idx="2">
                  <c:v>289</c:v>
                </c:pt>
                <c:pt idx="3">
                  <c:v>67</c:v>
                </c:pt>
                <c:pt idx="4">
                  <c:v>392</c:v>
                </c:pt>
                <c:pt idx="5">
                  <c:v>186</c:v>
                </c:pt>
              </c:numCache>
            </c:numRef>
          </c:val>
          <c:extLst>
            <c:ext xmlns:c16="http://schemas.microsoft.com/office/drawing/2014/chart" uri="{C3380CC4-5D6E-409C-BE32-E72D297353CC}">
              <c16:uniqueId val="{00000000-7B75-4F23-8C40-AFB3D0D841F4}"/>
            </c:ext>
          </c:extLst>
        </c:ser>
        <c:dLbls>
          <c:showLegendKey val="0"/>
          <c:showVal val="0"/>
          <c:showCatName val="0"/>
          <c:showSerName val="0"/>
          <c:showPercent val="0"/>
          <c:showBubbleSize val="0"/>
        </c:dLbls>
        <c:gapWidth val="219"/>
        <c:overlap val="-27"/>
        <c:axId val="942555535"/>
        <c:axId val="761206063"/>
      </c:barChart>
      <c:catAx>
        <c:axId val="9425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06063"/>
        <c:crosses val="autoZero"/>
        <c:auto val="1"/>
        <c:lblAlgn val="ctr"/>
        <c:lblOffset val="100"/>
        <c:noMultiLvlLbl val="0"/>
      </c:catAx>
      <c:valAx>
        <c:axId val="761206063"/>
        <c:scaling>
          <c:orientation val="minMax"/>
        </c:scaling>
        <c:delete val="1"/>
        <c:axPos val="l"/>
        <c:numFmt formatCode="General" sourceLinked="1"/>
        <c:majorTickMark val="none"/>
        <c:minorTickMark val="none"/>
        <c:tickLblPos val="nextTo"/>
        <c:crossAx val="94255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Project1.xlsx]Pivot!PivotTable10</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5480974071066"/>
          <c:y val="0"/>
          <c:w val="0.8406602874192296"/>
          <c:h val="0.97484276729559749"/>
        </c:manualLayout>
      </c:layout>
      <c:barChart>
        <c:barDir val="bar"/>
        <c:grouping val="clustered"/>
        <c:varyColors val="0"/>
        <c:ser>
          <c:idx val="0"/>
          <c:order val="0"/>
          <c:tx>
            <c:strRef>
              <c:f>Pivot!$B$121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Pivot!$A$122:$A$125</c:f>
              <c:strCache>
                <c:ptCount val="3"/>
                <c:pt idx="0">
                  <c:v>Kiran</c:v>
                </c:pt>
                <c:pt idx="1">
                  <c:v>Ganesh</c:v>
                </c:pt>
                <c:pt idx="2">
                  <c:v>Prathap</c:v>
                </c:pt>
              </c:strCache>
            </c:strRef>
          </c:cat>
          <c:val>
            <c:numRef>
              <c:f>Pivot!$B$122:$B$125</c:f>
              <c:numCache>
                <c:formatCode>General</c:formatCode>
                <c:ptCount val="3"/>
                <c:pt idx="0">
                  <c:v>289</c:v>
                </c:pt>
                <c:pt idx="1">
                  <c:v>327</c:v>
                </c:pt>
                <c:pt idx="2">
                  <c:v>392</c:v>
                </c:pt>
              </c:numCache>
            </c:numRef>
          </c:val>
          <c:extLst>
            <c:ext xmlns:c16="http://schemas.microsoft.com/office/drawing/2014/chart" uri="{C3380CC4-5D6E-409C-BE32-E72D297353CC}">
              <c16:uniqueId val="{00000000-602C-4774-93C5-7F0268879458}"/>
            </c:ext>
          </c:extLst>
        </c:ser>
        <c:dLbls>
          <c:showLegendKey val="0"/>
          <c:showVal val="0"/>
          <c:showCatName val="0"/>
          <c:showSerName val="0"/>
          <c:showPercent val="0"/>
          <c:showBubbleSize val="0"/>
        </c:dLbls>
        <c:gapWidth val="182"/>
        <c:axId val="773255567"/>
        <c:axId val="817979775"/>
      </c:barChart>
      <c:catAx>
        <c:axId val="77325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79775"/>
        <c:crosses val="autoZero"/>
        <c:auto val="1"/>
        <c:lblAlgn val="ctr"/>
        <c:lblOffset val="100"/>
        <c:noMultiLvlLbl val="0"/>
      </c:catAx>
      <c:valAx>
        <c:axId val="817979775"/>
        <c:scaling>
          <c:orientation val="minMax"/>
        </c:scaling>
        <c:delete val="1"/>
        <c:axPos val="b"/>
        <c:numFmt formatCode="General" sourceLinked="1"/>
        <c:majorTickMark val="none"/>
        <c:minorTickMark val="none"/>
        <c:tickLblPos val="nextTo"/>
        <c:crossAx val="77325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Project1.xlsx]Pivot!PivotTable11</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Pivot!$A$135:$A$138</c:f>
              <c:strCache>
                <c:ptCount val="3"/>
                <c:pt idx="0">
                  <c:v>Gopi</c:v>
                </c:pt>
                <c:pt idx="1">
                  <c:v>Ramesh</c:v>
                </c:pt>
                <c:pt idx="2">
                  <c:v>Mahesh</c:v>
                </c:pt>
              </c:strCache>
            </c:strRef>
          </c:cat>
          <c:val>
            <c:numRef>
              <c:f>Pivot!$B$135:$B$138</c:f>
              <c:numCache>
                <c:formatCode>General</c:formatCode>
                <c:ptCount val="3"/>
                <c:pt idx="0">
                  <c:v>251</c:v>
                </c:pt>
                <c:pt idx="1">
                  <c:v>186</c:v>
                </c:pt>
                <c:pt idx="2">
                  <c:v>67</c:v>
                </c:pt>
              </c:numCache>
            </c:numRef>
          </c:val>
          <c:extLst>
            <c:ext xmlns:c16="http://schemas.microsoft.com/office/drawing/2014/chart" uri="{C3380CC4-5D6E-409C-BE32-E72D297353CC}">
              <c16:uniqueId val="{00000000-DCA9-42E5-8216-6CE43986BFB4}"/>
            </c:ext>
          </c:extLst>
        </c:ser>
        <c:dLbls>
          <c:showLegendKey val="0"/>
          <c:showVal val="0"/>
          <c:showCatName val="0"/>
          <c:showSerName val="0"/>
          <c:showPercent val="0"/>
          <c:showBubbleSize val="0"/>
        </c:dLbls>
        <c:gapWidth val="182"/>
        <c:axId val="762170575"/>
        <c:axId val="329890559"/>
      </c:barChart>
      <c:catAx>
        <c:axId val="76217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890559"/>
        <c:crosses val="autoZero"/>
        <c:auto val="1"/>
        <c:lblAlgn val="ctr"/>
        <c:lblOffset val="100"/>
        <c:noMultiLvlLbl val="0"/>
      </c:catAx>
      <c:valAx>
        <c:axId val="329890559"/>
        <c:scaling>
          <c:orientation val="minMax"/>
        </c:scaling>
        <c:delete val="1"/>
        <c:axPos val="b"/>
        <c:numFmt formatCode="General" sourceLinked="1"/>
        <c:majorTickMark val="none"/>
        <c:minorTickMark val="none"/>
        <c:tickLblPos val="nextTo"/>
        <c:crossAx val="76217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Project1.xlsx]Pivot!PivotTable1</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435870516185477"/>
          <c:y val="2.5428331875182269E-2"/>
          <c:w val="0.83953018372703414"/>
          <c:h val="0.8416746864975212"/>
        </c:manualLayout>
      </c:layout>
      <c:lineChart>
        <c:grouping val="stacked"/>
        <c:varyColors val="0"/>
        <c:ser>
          <c:idx val="0"/>
          <c:order val="0"/>
          <c:tx>
            <c:strRef>
              <c:f>Pivot!$B$1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Pivot!$B$2:$B$14</c:f>
              <c:numCache>
                <c:formatCode>General</c:formatCode>
                <c:ptCount val="12"/>
                <c:pt idx="0">
                  <c:v>1134731</c:v>
                </c:pt>
                <c:pt idx="1">
                  <c:v>2959241</c:v>
                </c:pt>
                <c:pt idx="2">
                  <c:v>190952</c:v>
                </c:pt>
                <c:pt idx="3">
                  <c:v>282446</c:v>
                </c:pt>
                <c:pt idx="4">
                  <c:v>749869</c:v>
                </c:pt>
                <c:pt idx="5">
                  <c:v>425409</c:v>
                </c:pt>
                <c:pt idx="6">
                  <c:v>2655948</c:v>
                </c:pt>
                <c:pt idx="7">
                  <c:v>1571476</c:v>
                </c:pt>
                <c:pt idx="8">
                  <c:v>1324327</c:v>
                </c:pt>
                <c:pt idx="9">
                  <c:v>4179650</c:v>
                </c:pt>
                <c:pt idx="10">
                  <c:v>109550</c:v>
                </c:pt>
                <c:pt idx="11">
                  <c:v>469086</c:v>
                </c:pt>
              </c:numCache>
            </c:numRef>
          </c:val>
          <c:smooth val="0"/>
          <c:extLst>
            <c:ext xmlns:c16="http://schemas.microsoft.com/office/drawing/2014/chart" uri="{C3380CC4-5D6E-409C-BE32-E72D297353CC}">
              <c16:uniqueId val="{00000000-90F0-47F6-91D3-FE77DE200096}"/>
            </c:ext>
          </c:extLst>
        </c:ser>
        <c:dLbls>
          <c:showLegendKey val="0"/>
          <c:showVal val="0"/>
          <c:showCatName val="0"/>
          <c:showSerName val="0"/>
          <c:showPercent val="0"/>
          <c:showBubbleSize val="0"/>
        </c:dLbls>
        <c:marker val="1"/>
        <c:smooth val="0"/>
        <c:axId val="1268580608"/>
        <c:axId val="1409695696"/>
      </c:lineChart>
      <c:catAx>
        <c:axId val="1268580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695696"/>
        <c:crosses val="autoZero"/>
        <c:auto val="1"/>
        <c:lblAlgn val="ctr"/>
        <c:lblOffset val="100"/>
        <c:noMultiLvlLbl val="0"/>
      </c:catAx>
      <c:valAx>
        <c:axId val="1409695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5806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Project1.xlsx]Pivot!PivotTable2</c:name>
    <c:fmtId val="9"/>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Pivot!$A$22:$A$23</c:f>
              <c:strCache>
                <c:ptCount val="1"/>
                <c:pt idx="0">
                  <c:v>Bapatla</c:v>
                </c:pt>
              </c:strCache>
            </c:strRef>
          </c:cat>
          <c:val>
            <c:numRef>
              <c:f>Pivot!$B$22:$B$23</c:f>
              <c:numCache>
                <c:formatCode>_ * #,##0_ ;_ * \-#,##0_ ;_ * "-"??_ ;_ @_ </c:formatCode>
                <c:ptCount val="1"/>
                <c:pt idx="0">
                  <c:v>16052685</c:v>
                </c:pt>
              </c:numCache>
            </c:numRef>
          </c:val>
          <c:extLst>
            <c:ext xmlns:c16="http://schemas.microsoft.com/office/drawing/2014/chart" uri="{C3380CC4-5D6E-409C-BE32-E72D297353CC}">
              <c16:uniqueId val="{00000000-EB87-48C5-84AC-9C333EFB9F13}"/>
            </c:ext>
          </c:extLst>
        </c:ser>
        <c:dLbls>
          <c:showLegendKey val="0"/>
          <c:showVal val="0"/>
          <c:showCatName val="0"/>
          <c:showSerName val="0"/>
          <c:showPercent val="0"/>
          <c:showBubbleSize val="0"/>
        </c:dLbls>
        <c:gapWidth val="164"/>
        <c:overlap val="-22"/>
        <c:axId val="32438144"/>
        <c:axId val="1267450160"/>
      </c:barChart>
      <c:catAx>
        <c:axId val="324381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50160"/>
        <c:crosses val="autoZero"/>
        <c:auto val="1"/>
        <c:lblAlgn val="ctr"/>
        <c:lblOffset val="100"/>
        <c:noMultiLvlLbl val="0"/>
      </c:catAx>
      <c:valAx>
        <c:axId val="1267450160"/>
        <c:scaling>
          <c:orientation val="minMax"/>
        </c:scaling>
        <c:delete val="1"/>
        <c:axPos val="l"/>
        <c:numFmt formatCode="_ * #,##0_ ;_ * \-#,##0_ ;_ * &quot;-&quot;??_ ;_ @_ " sourceLinked="1"/>
        <c:majorTickMark val="none"/>
        <c:minorTickMark val="none"/>
        <c:tickLblPos val="nextTo"/>
        <c:crossAx val="3243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Pivot!$A$36:$A$42</c:f>
              <c:strCache>
                <c:ptCount val="6"/>
                <c:pt idx="0">
                  <c:v>4K LED TV's</c:v>
                </c:pt>
                <c:pt idx="1">
                  <c:v>Furniture</c:v>
                </c:pt>
                <c:pt idx="2">
                  <c:v>Laptops</c:v>
                </c:pt>
                <c:pt idx="3">
                  <c:v>LED TV's</c:v>
                </c:pt>
                <c:pt idx="4">
                  <c:v>Mobiles</c:v>
                </c:pt>
                <c:pt idx="5">
                  <c:v>Speakers</c:v>
                </c:pt>
              </c:strCache>
            </c:strRef>
          </c:cat>
          <c:val>
            <c:numRef>
              <c:f>Pivot!$B$36:$B$42</c:f>
              <c:numCache>
                <c:formatCode>General</c:formatCode>
                <c:ptCount val="6"/>
                <c:pt idx="0">
                  <c:v>8033528</c:v>
                </c:pt>
                <c:pt idx="1">
                  <c:v>1085262</c:v>
                </c:pt>
                <c:pt idx="2">
                  <c:v>5474977</c:v>
                </c:pt>
                <c:pt idx="3">
                  <c:v>481552</c:v>
                </c:pt>
                <c:pt idx="4">
                  <c:v>492878</c:v>
                </c:pt>
                <c:pt idx="5">
                  <c:v>484488</c:v>
                </c:pt>
              </c:numCache>
            </c:numRef>
          </c:val>
          <c:extLst>
            <c:ext xmlns:c16="http://schemas.microsoft.com/office/drawing/2014/chart" uri="{C3380CC4-5D6E-409C-BE32-E72D297353CC}">
              <c16:uniqueId val="{00000000-6BED-498D-A7C0-5FAA5A67EBDB}"/>
            </c:ext>
          </c:extLst>
        </c:ser>
        <c:dLbls>
          <c:showLegendKey val="0"/>
          <c:showVal val="0"/>
          <c:showCatName val="0"/>
          <c:showSerName val="0"/>
          <c:showPercent val="0"/>
          <c:showBubbleSize val="0"/>
        </c:dLbls>
        <c:gapWidth val="182"/>
        <c:axId val="270437520"/>
        <c:axId val="1411219184"/>
      </c:barChart>
      <c:catAx>
        <c:axId val="27043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19184"/>
        <c:crosses val="autoZero"/>
        <c:auto val="1"/>
        <c:lblAlgn val="ctr"/>
        <c:lblOffset val="100"/>
        <c:noMultiLvlLbl val="0"/>
      </c:catAx>
      <c:valAx>
        <c:axId val="14112191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043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Project1.xlsx]Pivot!PivotTable7</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Pivot!$B$69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03C0-4430-B59F-C131B8BB4671}"/>
              </c:ext>
            </c:extLst>
          </c:dPt>
          <c:dPt>
            <c:idx val="2"/>
            <c:invertIfNegative val="0"/>
            <c:bubble3D val="0"/>
            <c:extLst>
              <c:ext xmlns:c16="http://schemas.microsoft.com/office/drawing/2014/chart" uri="{C3380CC4-5D6E-409C-BE32-E72D297353CC}">
                <c16:uniqueId val="{00000002-40C5-4C58-82E4-D27CC18F08D5}"/>
              </c:ext>
            </c:extLst>
          </c:dPt>
          <c:cat>
            <c:strRef>
              <c:f>Pivot!$A$70:$A$73</c:f>
              <c:strCache>
                <c:ptCount val="3"/>
                <c:pt idx="0">
                  <c:v>4K LED TV's</c:v>
                </c:pt>
                <c:pt idx="1">
                  <c:v>Speakers</c:v>
                </c:pt>
                <c:pt idx="2">
                  <c:v>Furniture</c:v>
                </c:pt>
              </c:strCache>
            </c:strRef>
          </c:cat>
          <c:val>
            <c:numRef>
              <c:f>Pivot!$B$70:$B$73</c:f>
              <c:numCache>
                <c:formatCode>General</c:formatCode>
                <c:ptCount val="3"/>
                <c:pt idx="0">
                  <c:v>334</c:v>
                </c:pt>
                <c:pt idx="1">
                  <c:v>310</c:v>
                </c:pt>
                <c:pt idx="2">
                  <c:v>244</c:v>
                </c:pt>
              </c:numCache>
            </c:numRef>
          </c:val>
          <c:extLst>
            <c:ext xmlns:c16="http://schemas.microsoft.com/office/drawing/2014/chart" uri="{C3380CC4-5D6E-409C-BE32-E72D297353CC}">
              <c16:uniqueId val="{00000000-03C0-4430-B59F-C131B8BB4671}"/>
            </c:ext>
          </c:extLst>
        </c:ser>
        <c:dLbls>
          <c:showLegendKey val="0"/>
          <c:showVal val="0"/>
          <c:showCatName val="0"/>
          <c:showSerName val="0"/>
          <c:showPercent val="0"/>
          <c:showBubbleSize val="0"/>
        </c:dLbls>
        <c:gapWidth val="150"/>
        <c:overlap val="100"/>
        <c:axId val="843288224"/>
        <c:axId val="1521979504"/>
      </c:barChart>
      <c:catAx>
        <c:axId val="84328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979504"/>
        <c:crosses val="autoZero"/>
        <c:auto val="1"/>
        <c:lblAlgn val="ctr"/>
        <c:lblOffset val="100"/>
        <c:noMultiLvlLbl val="0"/>
      </c:catAx>
      <c:valAx>
        <c:axId val="152197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88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Project1.xlsx]Pivot!PivotTable8</c:name>
    <c:fmtId val="34"/>
  </c:pivotSource>
  <c:chart>
    <c:autoTitleDeleted val="1"/>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Pivot!$B$77</c:f>
              <c:strCache>
                <c:ptCount val="1"/>
                <c:pt idx="0">
                  <c:v>Total</c:v>
                </c:pt>
              </c:strCache>
            </c:strRef>
          </c:tx>
          <c:spPr>
            <a:solidFill>
              <a:schemeClr val="accent1"/>
            </a:solidFill>
            <a:ln>
              <a:noFill/>
            </a:ln>
            <a:effectLst/>
          </c:spPr>
          <c:invertIfNegative val="0"/>
          <c:cat>
            <c:strRef>
              <c:f>Pivot!$A$78:$A$81</c:f>
              <c:strCache>
                <c:ptCount val="3"/>
                <c:pt idx="0">
                  <c:v>4K LED TV's</c:v>
                </c:pt>
                <c:pt idx="1">
                  <c:v>Speakers</c:v>
                </c:pt>
                <c:pt idx="2">
                  <c:v>Furniture</c:v>
                </c:pt>
              </c:strCache>
            </c:strRef>
          </c:cat>
          <c:val>
            <c:numRef>
              <c:f>Pivot!$B$78:$B$81</c:f>
              <c:numCache>
                <c:formatCode>General</c:formatCode>
                <c:ptCount val="3"/>
                <c:pt idx="0">
                  <c:v>334</c:v>
                </c:pt>
                <c:pt idx="1">
                  <c:v>310</c:v>
                </c:pt>
                <c:pt idx="2">
                  <c:v>244</c:v>
                </c:pt>
              </c:numCache>
            </c:numRef>
          </c:val>
          <c:extLst>
            <c:ext xmlns:c16="http://schemas.microsoft.com/office/drawing/2014/chart" uri="{C3380CC4-5D6E-409C-BE32-E72D297353CC}">
              <c16:uniqueId val="{00000000-4746-4C98-8F9F-F9A13C3BD3B1}"/>
            </c:ext>
          </c:extLst>
        </c:ser>
        <c:dLbls>
          <c:showLegendKey val="0"/>
          <c:showVal val="0"/>
          <c:showCatName val="0"/>
          <c:showSerName val="0"/>
          <c:showPercent val="0"/>
          <c:showBubbleSize val="0"/>
        </c:dLbls>
        <c:gapWidth val="150"/>
        <c:overlap val="100"/>
        <c:axId val="1653027568"/>
        <c:axId val="1411227920"/>
      </c:barChart>
      <c:catAx>
        <c:axId val="165302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27920"/>
        <c:crosses val="autoZero"/>
        <c:auto val="1"/>
        <c:lblAlgn val="ctr"/>
        <c:lblOffset val="100"/>
        <c:noMultiLvlLbl val="0"/>
      </c:catAx>
      <c:valAx>
        <c:axId val="1411227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2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Pivot!$A$91:$A$97</c:f>
              <c:strCache>
                <c:ptCount val="6"/>
                <c:pt idx="0">
                  <c:v>4K LED TV's</c:v>
                </c:pt>
                <c:pt idx="1">
                  <c:v>Furniture</c:v>
                </c:pt>
                <c:pt idx="2">
                  <c:v>Laptops</c:v>
                </c:pt>
                <c:pt idx="3">
                  <c:v>LED TV's</c:v>
                </c:pt>
                <c:pt idx="4">
                  <c:v>Mobiles</c:v>
                </c:pt>
                <c:pt idx="5">
                  <c:v>Speakers</c:v>
                </c:pt>
              </c:strCache>
            </c:strRef>
          </c:cat>
          <c:val>
            <c:numRef>
              <c:f>Pivot!$B$91:$B$97</c:f>
              <c:numCache>
                <c:formatCode>General</c:formatCode>
                <c:ptCount val="6"/>
                <c:pt idx="0">
                  <c:v>334</c:v>
                </c:pt>
                <c:pt idx="1">
                  <c:v>244</c:v>
                </c:pt>
                <c:pt idx="2">
                  <c:v>216</c:v>
                </c:pt>
                <c:pt idx="3">
                  <c:v>230</c:v>
                </c:pt>
                <c:pt idx="4">
                  <c:v>178</c:v>
                </c:pt>
                <c:pt idx="5">
                  <c:v>310</c:v>
                </c:pt>
              </c:numCache>
            </c:numRef>
          </c:val>
          <c:extLst>
            <c:ext xmlns:c16="http://schemas.microsoft.com/office/drawing/2014/chart" uri="{C3380CC4-5D6E-409C-BE32-E72D297353CC}">
              <c16:uniqueId val="{00000000-1A2A-42BD-98AE-2795B9D037E7}"/>
            </c:ext>
          </c:extLst>
        </c:ser>
        <c:dLbls>
          <c:showLegendKey val="0"/>
          <c:showVal val="0"/>
          <c:showCatName val="0"/>
          <c:showSerName val="0"/>
          <c:showPercent val="0"/>
          <c:showBubbleSize val="0"/>
        </c:dLbls>
        <c:gapWidth val="219"/>
        <c:overlap val="-27"/>
        <c:axId val="813122319"/>
        <c:axId val="813785935"/>
      </c:barChart>
      <c:catAx>
        <c:axId val="81312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785935"/>
        <c:crosses val="autoZero"/>
        <c:auto val="1"/>
        <c:lblAlgn val="ctr"/>
        <c:lblOffset val="100"/>
        <c:noMultiLvlLbl val="0"/>
      </c:catAx>
      <c:valAx>
        <c:axId val="813785935"/>
        <c:scaling>
          <c:orientation val="minMax"/>
        </c:scaling>
        <c:delete val="1"/>
        <c:axPos val="l"/>
        <c:numFmt formatCode="General" sourceLinked="1"/>
        <c:majorTickMark val="none"/>
        <c:minorTickMark val="none"/>
        <c:tickLblPos val="nextTo"/>
        <c:crossAx val="81312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Pivot!$A$105:$A$111</c:f>
              <c:strCache>
                <c:ptCount val="6"/>
                <c:pt idx="0">
                  <c:v>Ganesh</c:v>
                </c:pt>
                <c:pt idx="1">
                  <c:v>Gopi</c:v>
                </c:pt>
                <c:pt idx="2">
                  <c:v>Kiran</c:v>
                </c:pt>
                <c:pt idx="3">
                  <c:v>Mahesh</c:v>
                </c:pt>
                <c:pt idx="4">
                  <c:v>Prathap</c:v>
                </c:pt>
                <c:pt idx="5">
                  <c:v>Ramesh</c:v>
                </c:pt>
              </c:strCache>
            </c:strRef>
          </c:cat>
          <c:val>
            <c:numRef>
              <c:f>Pivot!$B$105:$B$111</c:f>
              <c:numCache>
                <c:formatCode>General</c:formatCode>
                <c:ptCount val="6"/>
                <c:pt idx="0">
                  <c:v>327</c:v>
                </c:pt>
                <c:pt idx="1">
                  <c:v>251</c:v>
                </c:pt>
                <c:pt idx="2">
                  <c:v>289</c:v>
                </c:pt>
                <c:pt idx="3">
                  <c:v>67</c:v>
                </c:pt>
                <c:pt idx="4">
                  <c:v>392</c:v>
                </c:pt>
                <c:pt idx="5">
                  <c:v>186</c:v>
                </c:pt>
              </c:numCache>
            </c:numRef>
          </c:val>
          <c:extLst>
            <c:ext xmlns:c16="http://schemas.microsoft.com/office/drawing/2014/chart" uri="{C3380CC4-5D6E-409C-BE32-E72D297353CC}">
              <c16:uniqueId val="{00000000-1982-4EFF-8EC6-3BB492E0549B}"/>
            </c:ext>
          </c:extLst>
        </c:ser>
        <c:dLbls>
          <c:showLegendKey val="0"/>
          <c:showVal val="0"/>
          <c:showCatName val="0"/>
          <c:showSerName val="0"/>
          <c:showPercent val="0"/>
          <c:showBubbleSize val="0"/>
        </c:dLbls>
        <c:gapWidth val="219"/>
        <c:overlap val="-27"/>
        <c:axId val="942555535"/>
        <c:axId val="761206063"/>
      </c:barChart>
      <c:catAx>
        <c:axId val="9425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06063"/>
        <c:crosses val="autoZero"/>
        <c:auto val="1"/>
        <c:lblAlgn val="ctr"/>
        <c:lblOffset val="100"/>
        <c:noMultiLvlLbl val="0"/>
      </c:catAx>
      <c:valAx>
        <c:axId val="761206063"/>
        <c:scaling>
          <c:orientation val="minMax"/>
        </c:scaling>
        <c:delete val="1"/>
        <c:axPos val="l"/>
        <c:numFmt formatCode="General" sourceLinked="1"/>
        <c:majorTickMark val="none"/>
        <c:minorTickMark val="none"/>
        <c:tickLblPos val="nextTo"/>
        <c:crossAx val="94255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Project1.xlsx]Pivot!PivotTable10</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Pivot!$A$122:$A$125</c:f>
              <c:strCache>
                <c:ptCount val="3"/>
                <c:pt idx="0">
                  <c:v>Kiran</c:v>
                </c:pt>
                <c:pt idx="1">
                  <c:v>Ganesh</c:v>
                </c:pt>
                <c:pt idx="2">
                  <c:v>Prathap</c:v>
                </c:pt>
              </c:strCache>
            </c:strRef>
          </c:cat>
          <c:val>
            <c:numRef>
              <c:f>Pivot!$B$122:$B$125</c:f>
              <c:numCache>
                <c:formatCode>General</c:formatCode>
                <c:ptCount val="3"/>
                <c:pt idx="0">
                  <c:v>289</c:v>
                </c:pt>
                <c:pt idx="1">
                  <c:v>327</c:v>
                </c:pt>
                <c:pt idx="2">
                  <c:v>392</c:v>
                </c:pt>
              </c:numCache>
            </c:numRef>
          </c:val>
          <c:extLst>
            <c:ext xmlns:c16="http://schemas.microsoft.com/office/drawing/2014/chart" uri="{C3380CC4-5D6E-409C-BE32-E72D297353CC}">
              <c16:uniqueId val="{00000000-5B83-471F-8D4A-798E0A5C5664}"/>
            </c:ext>
          </c:extLst>
        </c:ser>
        <c:dLbls>
          <c:showLegendKey val="0"/>
          <c:showVal val="0"/>
          <c:showCatName val="0"/>
          <c:showSerName val="0"/>
          <c:showPercent val="0"/>
          <c:showBubbleSize val="0"/>
        </c:dLbls>
        <c:gapWidth val="182"/>
        <c:axId val="773255567"/>
        <c:axId val="817979775"/>
      </c:barChart>
      <c:catAx>
        <c:axId val="77325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79775"/>
        <c:crosses val="autoZero"/>
        <c:auto val="1"/>
        <c:lblAlgn val="ctr"/>
        <c:lblOffset val="100"/>
        <c:noMultiLvlLbl val="0"/>
      </c:catAx>
      <c:valAx>
        <c:axId val="817979775"/>
        <c:scaling>
          <c:orientation val="minMax"/>
        </c:scaling>
        <c:delete val="1"/>
        <c:axPos val="b"/>
        <c:numFmt formatCode="General" sourceLinked="1"/>
        <c:majorTickMark val="none"/>
        <c:minorTickMark val="none"/>
        <c:tickLblPos val="nextTo"/>
        <c:crossAx val="77325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Project1.xlsx]Pivot!PivotTable11</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Pivot!$A$135:$A$138</c:f>
              <c:strCache>
                <c:ptCount val="3"/>
                <c:pt idx="0">
                  <c:v>Gopi</c:v>
                </c:pt>
                <c:pt idx="1">
                  <c:v>Ramesh</c:v>
                </c:pt>
                <c:pt idx="2">
                  <c:v>Mahesh</c:v>
                </c:pt>
              </c:strCache>
            </c:strRef>
          </c:cat>
          <c:val>
            <c:numRef>
              <c:f>Pivot!$B$135:$B$138</c:f>
              <c:numCache>
                <c:formatCode>General</c:formatCode>
                <c:ptCount val="3"/>
                <c:pt idx="0">
                  <c:v>251</c:v>
                </c:pt>
                <c:pt idx="1">
                  <c:v>186</c:v>
                </c:pt>
                <c:pt idx="2">
                  <c:v>67</c:v>
                </c:pt>
              </c:numCache>
            </c:numRef>
          </c:val>
          <c:extLst>
            <c:ext xmlns:c16="http://schemas.microsoft.com/office/drawing/2014/chart" uri="{C3380CC4-5D6E-409C-BE32-E72D297353CC}">
              <c16:uniqueId val="{00000000-58EA-4FA2-8299-56E5C679D8CA}"/>
            </c:ext>
          </c:extLst>
        </c:ser>
        <c:dLbls>
          <c:showLegendKey val="0"/>
          <c:showVal val="0"/>
          <c:showCatName val="0"/>
          <c:showSerName val="0"/>
          <c:showPercent val="0"/>
          <c:showBubbleSize val="0"/>
        </c:dLbls>
        <c:gapWidth val="182"/>
        <c:axId val="762170575"/>
        <c:axId val="329890559"/>
      </c:barChart>
      <c:catAx>
        <c:axId val="76217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890559"/>
        <c:crosses val="autoZero"/>
        <c:auto val="1"/>
        <c:lblAlgn val="ctr"/>
        <c:lblOffset val="100"/>
        <c:noMultiLvlLbl val="0"/>
      </c:catAx>
      <c:valAx>
        <c:axId val="329890559"/>
        <c:scaling>
          <c:orientation val="minMax"/>
        </c:scaling>
        <c:delete val="1"/>
        <c:axPos val="b"/>
        <c:numFmt formatCode="General" sourceLinked="1"/>
        <c:majorTickMark val="none"/>
        <c:minorTickMark val="none"/>
        <c:tickLblPos val="nextTo"/>
        <c:crossAx val="76217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RODUCTS!A1"/><Relationship Id="rId7" Type="http://schemas.openxmlformats.org/officeDocument/2006/relationships/image" Target="../media/image4.sv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hyperlink" Target="#About!A1"/><Relationship Id="rId10" Type="http://schemas.openxmlformats.org/officeDocument/2006/relationships/chart" Target="../charts/chart1.xml"/><Relationship Id="rId4" Type="http://schemas.openxmlformats.org/officeDocument/2006/relationships/hyperlink" Target="#sales_mans!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hyperlink" Target="#About!A1"/><Relationship Id="rId4" Type="http://schemas.openxmlformats.org/officeDocument/2006/relationships/hyperlink" Target="#sales_mans!A1"/></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hyperlink" Target="#About!A1"/><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3" Type="http://schemas.openxmlformats.org/officeDocument/2006/relationships/hyperlink" Target="#sales_mans!A1"/><Relationship Id="rId2" Type="http://schemas.openxmlformats.org/officeDocument/2006/relationships/hyperlink" Target="#PRODUCTS!A1"/><Relationship Id="rId1" Type="http://schemas.openxmlformats.org/officeDocument/2006/relationships/hyperlink" Target="#DashBoard!A1"/><Relationship Id="rId5" Type="http://schemas.openxmlformats.org/officeDocument/2006/relationships/image" Target="../media/image8.sv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558800</xdr:colOff>
      <xdr:row>28</xdr:row>
      <xdr:rowOff>63500</xdr:rowOff>
    </xdr:to>
    <xdr:sp macro="" textlink="">
      <xdr:nvSpPr>
        <xdr:cNvPr id="4" name="Rectangle: Rounded Corners 3">
          <a:extLst>
            <a:ext uri="{FF2B5EF4-FFF2-40B4-BE49-F238E27FC236}">
              <a16:creationId xmlns:a16="http://schemas.microsoft.com/office/drawing/2014/main" id="{41A7617C-844A-476A-BB7E-47F5ABC397B7}"/>
            </a:ext>
          </a:extLst>
        </xdr:cNvPr>
        <xdr:cNvSpPr/>
      </xdr:nvSpPr>
      <xdr:spPr>
        <a:xfrm>
          <a:off x="0" y="0"/>
          <a:ext cx="11785600" cy="5041900"/>
        </a:xfrm>
        <a:prstGeom prst="roundRect">
          <a:avLst>
            <a:gd name="adj" fmla="val 57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133350</xdr:colOff>
      <xdr:row>0</xdr:row>
      <xdr:rowOff>107950</xdr:rowOff>
    </xdr:from>
    <xdr:to>
      <xdr:col>17</xdr:col>
      <xdr:colOff>254000</xdr:colOff>
      <xdr:row>27</xdr:row>
      <xdr:rowOff>165100</xdr:rowOff>
    </xdr:to>
    <xdr:sp macro="" textlink="">
      <xdr:nvSpPr>
        <xdr:cNvPr id="5" name="Rectangle: Rounded Corners 4">
          <a:extLst>
            <a:ext uri="{FF2B5EF4-FFF2-40B4-BE49-F238E27FC236}">
              <a16:creationId xmlns:a16="http://schemas.microsoft.com/office/drawing/2014/main" id="{F2E0C158-AA6A-467C-BFC0-FBA795016E59}"/>
            </a:ext>
          </a:extLst>
        </xdr:cNvPr>
        <xdr:cNvSpPr/>
      </xdr:nvSpPr>
      <xdr:spPr>
        <a:xfrm>
          <a:off x="2114550" y="107950"/>
          <a:ext cx="9366250" cy="4857750"/>
        </a:xfrm>
        <a:prstGeom prst="roundRect">
          <a:avLst>
            <a:gd name="adj" fmla="val 3486"/>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165100</xdr:colOff>
      <xdr:row>0</xdr:row>
      <xdr:rowOff>171450</xdr:rowOff>
    </xdr:from>
    <xdr:to>
      <xdr:col>11</xdr:col>
      <xdr:colOff>406400</xdr:colOff>
      <xdr:row>8</xdr:row>
      <xdr:rowOff>76200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D90AD39-55B6-476A-9538-0A25AA9847B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46300" y="171450"/>
              <a:ext cx="5524500" cy="1327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438150</xdr:colOff>
      <xdr:row>0</xdr:row>
      <xdr:rowOff>171450</xdr:rowOff>
    </xdr:from>
    <xdr:to>
      <xdr:col>17</xdr:col>
      <xdr:colOff>196850</xdr:colOff>
      <xdr:row>8</xdr:row>
      <xdr:rowOff>82550</xdr:rowOff>
    </xdr:to>
    <mc:AlternateContent xmlns:mc="http://schemas.openxmlformats.org/markup-compatibility/2006" xmlns:a14="http://schemas.microsoft.com/office/drawing/2010/main">
      <mc:Choice Requires="a14">
        <xdr:graphicFrame macro="">
          <xdr:nvGraphicFramePr>
            <xdr:cNvPr id="8" name="Place 1">
              <a:extLst>
                <a:ext uri="{FF2B5EF4-FFF2-40B4-BE49-F238E27FC236}">
                  <a16:creationId xmlns:a16="http://schemas.microsoft.com/office/drawing/2014/main" id="{AF89FC53-3482-4F5A-AB1A-9EDBE77F093A}"/>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7702550" y="171450"/>
              <a:ext cx="37211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158750</xdr:colOff>
      <xdr:row>8</xdr:row>
      <xdr:rowOff>120650</xdr:rowOff>
    </xdr:from>
    <xdr:to>
      <xdr:col>17</xdr:col>
      <xdr:colOff>171450</xdr:colOff>
      <xdr:row>12</xdr:row>
      <xdr:rowOff>107950</xdr:rowOff>
    </xdr:to>
    <mc:AlternateContent xmlns:mc="http://schemas.openxmlformats.org/markup-compatibility/2006" xmlns:a14="http://schemas.microsoft.com/office/drawing/2010/main">
      <mc:Choice Requires="a14">
        <xdr:graphicFrame macro="">
          <xdr:nvGraphicFramePr>
            <xdr:cNvPr id="9" name="Products 1">
              <a:extLst>
                <a:ext uri="{FF2B5EF4-FFF2-40B4-BE49-F238E27FC236}">
                  <a16:creationId xmlns:a16="http://schemas.microsoft.com/office/drawing/2014/main" id="{55AB9DC2-A739-4BCF-AC41-7AAD2F3073DF}"/>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139950" y="1543050"/>
              <a:ext cx="9258300"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12</xdr:row>
      <xdr:rowOff>95250</xdr:rowOff>
    </xdr:from>
    <xdr:to>
      <xdr:col>3</xdr:col>
      <xdr:colOff>546100</xdr:colOff>
      <xdr:row>14</xdr:row>
      <xdr:rowOff>171450</xdr:rowOff>
    </xdr:to>
    <xdr:pic>
      <xdr:nvPicPr>
        <xdr:cNvPr id="11" name="Graphic 10" descr="Bar chart">
          <a:extLst>
            <a:ext uri="{FF2B5EF4-FFF2-40B4-BE49-F238E27FC236}">
              <a16:creationId xmlns:a16="http://schemas.microsoft.com/office/drawing/2014/main" id="{8E12E81B-4D77-4EAA-8F30-5B790BECBE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95500" y="2228850"/>
          <a:ext cx="431800" cy="431800"/>
        </a:xfrm>
        <a:prstGeom prst="rect">
          <a:avLst/>
        </a:prstGeom>
      </xdr:spPr>
    </xdr:pic>
    <xdr:clientData/>
  </xdr:twoCellAnchor>
  <xdr:twoCellAnchor>
    <xdr:from>
      <xdr:col>3</xdr:col>
      <xdr:colOff>508000</xdr:colOff>
      <xdr:row>12</xdr:row>
      <xdr:rowOff>146050</xdr:rowOff>
    </xdr:from>
    <xdr:to>
      <xdr:col>5</xdr:col>
      <xdr:colOff>533400</xdr:colOff>
      <xdr:row>14</xdr:row>
      <xdr:rowOff>95250</xdr:rowOff>
    </xdr:to>
    <xdr:sp macro="" textlink="">
      <xdr:nvSpPr>
        <xdr:cNvPr id="12" name="Rectangle 11">
          <a:extLst>
            <a:ext uri="{FF2B5EF4-FFF2-40B4-BE49-F238E27FC236}">
              <a16:creationId xmlns:a16="http://schemas.microsoft.com/office/drawing/2014/main" id="{B5BF9241-B4F6-4063-8843-CE278D546A58}"/>
            </a:ext>
          </a:extLst>
        </xdr:cNvPr>
        <xdr:cNvSpPr/>
      </xdr:nvSpPr>
      <xdr:spPr>
        <a:xfrm>
          <a:off x="2489200" y="2279650"/>
          <a:ext cx="134620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n>
                <a:noFill/>
              </a:ln>
              <a:solidFill>
                <a:srgbClr val="0070C0"/>
              </a:solidFill>
            </a:rPr>
            <a:t>Analytics</a:t>
          </a:r>
          <a:r>
            <a:rPr lang="en-US" sz="1800" b="1">
              <a:ln>
                <a:noFill/>
              </a:ln>
              <a:solidFill>
                <a:srgbClr val="002060"/>
              </a:solidFill>
            </a:rPr>
            <a:t> </a:t>
          </a:r>
          <a:endParaRPr lang="en-IN" sz="1800" b="1">
            <a:ln>
              <a:noFill/>
            </a:ln>
            <a:solidFill>
              <a:srgbClr val="002060"/>
            </a:solidFill>
          </a:endParaRPr>
        </a:p>
      </xdr:txBody>
    </xdr:sp>
    <xdr:clientData/>
  </xdr:twoCellAnchor>
  <xdr:twoCellAnchor>
    <xdr:from>
      <xdr:col>3</xdr:col>
      <xdr:colOff>298450</xdr:colOff>
      <xdr:row>14</xdr:row>
      <xdr:rowOff>165100</xdr:rowOff>
    </xdr:from>
    <xdr:to>
      <xdr:col>6</xdr:col>
      <xdr:colOff>457200</xdr:colOff>
      <xdr:row>18</xdr:row>
      <xdr:rowOff>146050</xdr:rowOff>
    </xdr:to>
    <xdr:sp macro="" textlink="">
      <xdr:nvSpPr>
        <xdr:cNvPr id="13" name="Rectangle: Rounded Corners 12">
          <a:extLst>
            <a:ext uri="{FF2B5EF4-FFF2-40B4-BE49-F238E27FC236}">
              <a16:creationId xmlns:a16="http://schemas.microsoft.com/office/drawing/2014/main" id="{3273A401-BF2B-44FC-9F2F-D18387828A1D}"/>
            </a:ext>
          </a:extLst>
        </xdr:cNvPr>
        <xdr:cNvSpPr/>
      </xdr:nvSpPr>
      <xdr:spPr>
        <a:xfrm>
          <a:off x="2279650" y="2654300"/>
          <a:ext cx="2139950" cy="69215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444500</xdr:colOff>
      <xdr:row>15</xdr:row>
      <xdr:rowOff>0</xdr:rowOff>
    </xdr:from>
    <xdr:to>
      <xdr:col>6</xdr:col>
      <xdr:colOff>311150</xdr:colOff>
      <xdr:row>18</xdr:row>
      <xdr:rowOff>101600</xdr:rowOff>
    </xdr:to>
    <xdr:sp macro="" textlink="">
      <xdr:nvSpPr>
        <xdr:cNvPr id="15" name="Rectangle: Rounded Corners 14">
          <a:extLst>
            <a:ext uri="{FF2B5EF4-FFF2-40B4-BE49-F238E27FC236}">
              <a16:creationId xmlns:a16="http://schemas.microsoft.com/office/drawing/2014/main" id="{B84793B7-A0B6-4B05-9D38-01EF6CF91400}"/>
            </a:ext>
          </a:extLst>
        </xdr:cNvPr>
        <xdr:cNvSpPr/>
      </xdr:nvSpPr>
      <xdr:spPr>
        <a:xfrm>
          <a:off x="2425700" y="2667000"/>
          <a:ext cx="1847850" cy="635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196850</xdr:colOff>
      <xdr:row>19</xdr:row>
      <xdr:rowOff>57149</xdr:rowOff>
    </xdr:from>
    <xdr:to>
      <xdr:col>10</xdr:col>
      <xdr:colOff>215900</xdr:colOff>
      <xdr:row>27</xdr:row>
      <xdr:rowOff>120650</xdr:rowOff>
    </xdr:to>
    <xdr:sp macro="" textlink="">
      <xdr:nvSpPr>
        <xdr:cNvPr id="17" name="Rectangle 16">
          <a:extLst>
            <a:ext uri="{FF2B5EF4-FFF2-40B4-BE49-F238E27FC236}">
              <a16:creationId xmlns:a16="http://schemas.microsoft.com/office/drawing/2014/main" id="{1781EC3F-6109-4B28-847C-21586B45213D}"/>
            </a:ext>
          </a:extLst>
        </xdr:cNvPr>
        <xdr:cNvSpPr/>
      </xdr:nvSpPr>
      <xdr:spPr>
        <a:xfrm>
          <a:off x="2178050" y="3435349"/>
          <a:ext cx="4641850" cy="148590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273050</xdr:colOff>
      <xdr:row>12</xdr:row>
      <xdr:rowOff>127000</xdr:rowOff>
    </xdr:from>
    <xdr:to>
      <xdr:col>17</xdr:col>
      <xdr:colOff>152400</xdr:colOff>
      <xdr:row>19</xdr:row>
      <xdr:rowOff>152400</xdr:rowOff>
    </xdr:to>
    <xdr:sp macro="" textlink="">
      <xdr:nvSpPr>
        <xdr:cNvPr id="18" name="Rectangle 17">
          <a:extLst>
            <a:ext uri="{FF2B5EF4-FFF2-40B4-BE49-F238E27FC236}">
              <a16:creationId xmlns:a16="http://schemas.microsoft.com/office/drawing/2014/main" id="{9BDBFB80-5DB3-40AD-BF1F-675B80BBE5C1}"/>
            </a:ext>
          </a:extLst>
        </xdr:cNvPr>
        <xdr:cNvSpPr/>
      </xdr:nvSpPr>
      <xdr:spPr>
        <a:xfrm>
          <a:off x="6877050" y="2260600"/>
          <a:ext cx="4502150" cy="1270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273050</xdr:colOff>
      <xdr:row>19</xdr:row>
      <xdr:rowOff>171450</xdr:rowOff>
    </xdr:from>
    <xdr:to>
      <xdr:col>17</xdr:col>
      <xdr:colOff>171450</xdr:colOff>
      <xdr:row>27</xdr:row>
      <xdr:rowOff>57150</xdr:rowOff>
    </xdr:to>
    <xdr:sp macro="" textlink="">
      <xdr:nvSpPr>
        <xdr:cNvPr id="19" name="Rectangle 18">
          <a:extLst>
            <a:ext uri="{FF2B5EF4-FFF2-40B4-BE49-F238E27FC236}">
              <a16:creationId xmlns:a16="http://schemas.microsoft.com/office/drawing/2014/main" id="{2F0F9947-E860-4440-BB19-64FE82DA6008}"/>
            </a:ext>
          </a:extLst>
        </xdr:cNvPr>
        <xdr:cNvSpPr/>
      </xdr:nvSpPr>
      <xdr:spPr>
        <a:xfrm>
          <a:off x="6877050" y="3549650"/>
          <a:ext cx="4521200" cy="13081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273050</xdr:colOff>
      <xdr:row>4</xdr:row>
      <xdr:rowOff>114300</xdr:rowOff>
    </xdr:from>
    <xdr:to>
      <xdr:col>2</xdr:col>
      <xdr:colOff>590550</xdr:colOff>
      <xdr:row>7</xdr:row>
      <xdr:rowOff>88900</xdr:rowOff>
    </xdr:to>
    <xdr:sp macro="" textlink="">
      <xdr:nvSpPr>
        <xdr:cNvPr id="20" name="Rectangle: Rounded Corners 19">
          <a:extLst>
            <a:ext uri="{FF2B5EF4-FFF2-40B4-BE49-F238E27FC236}">
              <a16:creationId xmlns:a16="http://schemas.microsoft.com/office/drawing/2014/main" id="{C827CFB9-BFBC-479C-A922-7850FBD2EF4A}"/>
            </a:ext>
          </a:extLst>
        </xdr:cNvPr>
        <xdr:cNvSpPr/>
      </xdr:nvSpPr>
      <xdr:spPr>
        <a:xfrm>
          <a:off x="273050" y="825500"/>
          <a:ext cx="1638300" cy="5080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DASHBOARD</a:t>
          </a:r>
        </a:p>
      </xdr:txBody>
    </xdr:sp>
    <xdr:clientData/>
  </xdr:twoCellAnchor>
  <xdr:twoCellAnchor>
    <xdr:from>
      <xdr:col>0</xdr:col>
      <xdr:colOff>260350</xdr:colOff>
      <xdr:row>8</xdr:row>
      <xdr:rowOff>82550</xdr:rowOff>
    </xdr:from>
    <xdr:to>
      <xdr:col>2</xdr:col>
      <xdr:colOff>558800</xdr:colOff>
      <xdr:row>11</xdr:row>
      <xdr:rowOff>63500</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C2CB0684-F506-4F37-9B64-376575FAF6E4}"/>
            </a:ext>
          </a:extLst>
        </xdr:cNvPr>
        <xdr:cNvSpPr/>
      </xdr:nvSpPr>
      <xdr:spPr>
        <a:xfrm>
          <a:off x="260350" y="1504950"/>
          <a:ext cx="1619250" cy="514350"/>
        </a:xfrm>
        <a:prstGeom prst="roundRect">
          <a:avLst/>
        </a:prstGeom>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PRODUCTS</a:t>
          </a:r>
          <a:endParaRPr lang="en-IN" sz="2400" b="1"/>
        </a:p>
      </xdr:txBody>
    </xdr:sp>
    <xdr:clientData/>
  </xdr:twoCellAnchor>
  <xdr:twoCellAnchor>
    <xdr:from>
      <xdr:col>0</xdr:col>
      <xdr:colOff>330200</xdr:colOff>
      <xdr:row>12</xdr:row>
      <xdr:rowOff>44450</xdr:rowOff>
    </xdr:from>
    <xdr:to>
      <xdr:col>2</xdr:col>
      <xdr:colOff>501650</xdr:colOff>
      <xdr:row>14</xdr:row>
      <xdr:rowOff>165100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893B9D2D-2CC7-49A5-9E06-637A07F5B02D}"/>
            </a:ext>
          </a:extLst>
        </xdr:cNvPr>
        <xdr:cNvSpPr/>
      </xdr:nvSpPr>
      <xdr:spPr>
        <a:xfrm>
          <a:off x="330200" y="2178050"/>
          <a:ext cx="1492250" cy="47625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SALESMENS</a:t>
          </a:r>
        </a:p>
      </xdr:txBody>
    </xdr:sp>
    <xdr:clientData/>
  </xdr:twoCellAnchor>
  <xdr:twoCellAnchor>
    <xdr:from>
      <xdr:col>0</xdr:col>
      <xdr:colOff>336550</xdr:colOff>
      <xdr:row>15</xdr:row>
      <xdr:rowOff>158750</xdr:rowOff>
    </xdr:from>
    <xdr:to>
      <xdr:col>2</xdr:col>
      <xdr:colOff>469900</xdr:colOff>
      <xdr:row>18</xdr:row>
      <xdr:rowOff>127000</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617F32EA-D4DE-49F7-B5F6-BA7C928CAD16}"/>
            </a:ext>
          </a:extLst>
        </xdr:cNvPr>
        <xdr:cNvSpPr/>
      </xdr:nvSpPr>
      <xdr:spPr>
        <a:xfrm>
          <a:off x="336550" y="2825750"/>
          <a:ext cx="1454150" cy="50165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ABOUT</a:t>
          </a:r>
          <a:endParaRPr lang="en-IN" sz="1050" b="1"/>
        </a:p>
      </xdr:txBody>
    </xdr:sp>
    <xdr:clientData/>
  </xdr:twoCellAnchor>
  <xdr:twoCellAnchor>
    <xdr:from>
      <xdr:col>4</xdr:col>
      <xdr:colOff>190500</xdr:colOff>
      <xdr:row>15</xdr:row>
      <xdr:rowOff>38100</xdr:rowOff>
    </xdr:from>
    <xdr:to>
      <xdr:col>6</xdr:col>
      <xdr:colOff>311150</xdr:colOff>
      <xdr:row>17</xdr:row>
      <xdr:rowOff>12700</xdr:rowOff>
    </xdr:to>
    <xdr:sp macro="" textlink="">
      <xdr:nvSpPr>
        <xdr:cNvPr id="33" name="Rectangle: Rounded Corners 32">
          <a:extLst>
            <a:ext uri="{FF2B5EF4-FFF2-40B4-BE49-F238E27FC236}">
              <a16:creationId xmlns:a16="http://schemas.microsoft.com/office/drawing/2014/main" id="{D2487E99-A2EF-44DB-9473-357FF196F1AD}"/>
            </a:ext>
          </a:extLst>
        </xdr:cNvPr>
        <xdr:cNvSpPr/>
      </xdr:nvSpPr>
      <xdr:spPr>
        <a:xfrm>
          <a:off x="2832100" y="2705100"/>
          <a:ext cx="1441450" cy="3302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70C0"/>
              </a:solidFill>
            </a:rPr>
            <a:t>TOTAL</a:t>
          </a:r>
          <a:r>
            <a:rPr lang="en-IN" sz="1400" b="1"/>
            <a:t> </a:t>
          </a:r>
          <a:r>
            <a:rPr lang="en-IN" sz="1400" b="1">
              <a:solidFill>
                <a:srgbClr val="0070C0"/>
              </a:solidFill>
            </a:rPr>
            <a:t>AMOUNT</a:t>
          </a:r>
        </a:p>
      </xdr:txBody>
    </xdr:sp>
    <xdr:clientData/>
  </xdr:twoCellAnchor>
  <xdr:twoCellAnchor>
    <xdr:from>
      <xdr:col>6</xdr:col>
      <xdr:colOff>571500</xdr:colOff>
      <xdr:row>14</xdr:row>
      <xdr:rowOff>171450</xdr:rowOff>
    </xdr:from>
    <xdr:to>
      <xdr:col>10</xdr:col>
      <xdr:colOff>69850</xdr:colOff>
      <xdr:row>18</xdr:row>
      <xdr:rowOff>152400</xdr:rowOff>
    </xdr:to>
    <xdr:sp macro="" textlink="">
      <xdr:nvSpPr>
        <xdr:cNvPr id="37" name="Rectangle: Rounded Corners 36">
          <a:extLst>
            <a:ext uri="{FF2B5EF4-FFF2-40B4-BE49-F238E27FC236}">
              <a16:creationId xmlns:a16="http://schemas.microsoft.com/office/drawing/2014/main" id="{D167A09C-4575-490F-8DFF-DF1220FFEB79}"/>
            </a:ext>
          </a:extLst>
        </xdr:cNvPr>
        <xdr:cNvSpPr/>
      </xdr:nvSpPr>
      <xdr:spPr>
        <a:xfrm>
          <a:off x="4533900" y="2660650"/>
          <a:ext cx="2139950" cy="69215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107950</xdr:colOff>
      <xdr:row>15</xdr:row>
      <xdr:rowOff>31750</xdr:rowOff>
    </xdr:from>
    <xdr:to>
      <xdr:col>9</xdr:col>
      <xdr:colOff>635000</xdr:colOff>
      <xdr:row>18</xdr:row>
      <xdr:rowOff>133350</xdr:rowOff>
    </xdr:to>
    <xdr:sp macro="" textlink="">
      <xdr:nvSpPr>
        <xdr:cNvPr id="38" name="Rectangle: Rounded Corners 37">
          <a:extLst>
            <a:ext uri="{FF2B5EF4-FFF2-40B4-BE49-F238E27FC236}">
              <a16:creationId xmlns:a16="http://schemas.microsoft.com/office/drawing/2014/main" id="{79C73076-68B8-425F-A466-761B6C189DAE}"/>
            </a:ext>
          </a:extLst>
        </xdr:cNvPr>
        <xdr:cNvSpPr/>
      </xdr:nvSpPr>
      <xdr:spPr>
        <a:xfrm>
          <a:off x="4730750" y="2698750"/>
          <a:ext cx="1847850" cy="635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120650</xdr:colOff>
      <xdr:row>15</xdr:row>
      <xdr:rowOff>69850</xdr:rowOff>
    </xdr:from>
    <xdr:to>
      <xdr:col>7</xdr:col>
      <xdr:colOff>654050</xdr:colOff>
      <xdr:row>18</xdr:row>
      <xdr:rowOff>133350</xdr:rowOff>
    </xdr:to>
    <xdr:pic>
      <xdr:nvPicPr>
        <xdr:cNvPr id="43" name="Graphic 42" descr="Upward trend">
          <a:extLst>
            <a:ext uri="{FF2B5EF4-FFF2-40B4-BE49-F238E27FC236}">
              <a16:creationId xmlns:a16="http://schemas.microsoft.com/office/drawing/2014/main" id="{CA726FDA-544C-4A3F-8FF7-898F5B0A113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743450" y="2736850"/>
          <a:ext cx="533400" cy="596900"/>
        </a:xfrm>
        <a:prstGeom prst="rect">
          <a:avLst/>
        </a:prstGeom>
      </xdr:spPr>
    </xdr:pic>
    <xdr:clientData/>
  </xdr:twoCellAnchor>
  <xdr:twoCellAnchor editAs="oneCell">
    <xdr:from>
      <xdr:col>3</xdr:col>
      <xdr:colOff>508000</xdr:colOff>
      <xdr:row>14</xdr:row>
      <xdr:rowOff>158750</xdr:rowOff>
    </xdr:from>
    <xdr:to>
      <xdr:col>4</xdr:col>
      <xdr:colOff>311150</xdr:colOff>
      <xdr:row>18</xdr:row>
      <xdr:rowOff>25400</xdr:rowOff>
    </xdr:to>
    <xdr:pic>
      <xdr:nvPicPr>
        <xdr:cNvPr id="45" name="Graphic 44" descr="Crown">
          <a:extLst>
            <a:ext uri="{FF2B5EF4-FFF2-40B4-BE49-F238E27FC236}">
              <a16:creationId xmlns:a16="http://schemas.microsoft.com/office/drawing/2014/main" id="{377D4D70-A571-4C80-A313-5BC054ADA94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489200" y="2647950"/>
          <a:ext cx="463550" cy="577850"/>
        </a:xfrm>
        <a:prstGeom prst="rect">
          <a:avLst/>
        </a:prstGeom>
      </xdr:spPr>
    </xdr:pic>
    <xdr:clientData/>
  </xdr:twoCellAnchor>
  <xdr:twoCellAnchor>
    <xdr:from>
      <xdr:col>10</xdr:col>
      <xdr:colOff>292100</xdr:colOff>
      <xdr:row>12</xdr:row>
      <xdr:rowOff>158750</xdr:rowOff>
    </xdr:from>
    <xdr:to>
      <xdr:col>17</xdr:col>
      <xdr:colOff>76200</xdr:colOff>
      <xdr:row>19</xdr:row>
      <xdr:rowOff>82550</xdr:rowOff>
    </xdr:to>
    <xdr:graphicFrame macro="">
      <xdr:nvGraphicFramePr>
        <xdr:cNvPr id="52" name="Chart 51">
          <a:extLst>
            <a:ext uri="{FF2B5EF4-FFF2-40B4-BE49-F238E27FC236}">
              <a16:creationId xmlns:a16="http://schemas.microsoft.com/office/drawing/2014/main" id="{7C5E4886-4719-4051-A311-A21C1A3F2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355600</xdr:colOff>
      <xdr:row>13</xdr:row>
      <xdr:rowOff>6350</xdr:rowOff>
    </xdr:from>
    <xdr:to>
      <xdr:col>12</xdr:col>
      <xdr:colOff>444500</xdr:colOff>
      <xdr:row>14</xdr:row>
      <xdr:rowOff>139700</xdr:rowOff>
    </xdr:to>
    <xdr:sp macro="" textlink="">
      <xdr:nvSpPr>
        <xdr:cNvPr id="49" name="Rectangle: Rounded Corners 48">
          <a:extLst>
            <a:ext uri="{FF2B5EF4-FFF2-40B4-BE49-F238E27FC236}">
              <a16:creationId xmlns:a16="http://schemas.microsoft.com/office/drawing/2014/main" id="{B8CF70C9-9DC6-43FC-B220-2CF28EB17890}"/>
            </a:ext>
          </a:extLst>
        </xdr:cNvPr>
        <xdr:cNvSpPr/>
      </xdr:nvSpPr>
      <xdr:spPr>
        <a:xfrm>
          <a:off x="6959600" y="2317750"/>
          <a:ext cx="1409700" cy="3111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SALES</a:t>
          </a:r>
          <a:r>
            <a:rPr lang="en-IN" sz="1200" b="1" baseline="0">
              <a:solidFill>
                <a:srgbClr val="0070C0"/>
              </a:solidFill>
            </a:rPr>
            <a:t> BY MONTHS</a:t>
          </a:r>
          <a:endParaRPr lang="en-IN" sz="1200" b="1">
            <a:solidFill>
              <a:srgbClr val="0070C0"/>
            </a:solidFill>
          </a:endParaRPr>
        </a:p>
      </xdr:txBody>
    </xdr:sp>
    <xdr:clientData/>
  </xdr:twoCellAnchor>
  <xdr:twoCellAnchor>
    <xdr:from>
      <xdr:col>10</xdr:col>
      <xdr:colOff>273050</xdr:colOff>
      <xdr:row>19</xdr:row>
      <xdr:rowOff>165100</xdr:rowOff>
    </xdr:from>
    <xdr:to>
      <xdr:col>17</xdr:col>
      <xdr:colOff>146050</xdr:colOff>
      <xdr:row>27</xdr:row>
      <xdr:rowOff>95250</xdr:rowOff>
    </xdr:to>
    <xdr:graphicFrame macro="">
      <xdr:nvGraphicFramePr>
        <xdr:cNvPr id="53" name="Chart 52">
          <a:extLst>
            <a:ext uri="{FF2B5EF4-FFF2-40B4-BE49-F238E27FC236}">
              <a16:creationId xmlns:a16="http://schemas.microsoft.com/office/drawing/2014/main" id="{70844859-D180-47C6-8942-2E21112BA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336550</xdr:colOff>
      <xdr:row>20</xdr:row>
      <xdr:rowOff>44450</xdr:rowOff>
    </xdr:from>
    <xdr:to>
      <xdr:col>12</xdr:col>
      <xdr:colOff>381000</xdr:colOff>
      <xdr:row>22</xdr:row>
      <xdr:rowOff>0</xdr:rowOff>
    </xdr:to>
    <xdr:sp macro="" textlink="">
      <xdr:nvSpPr>
        <xdr:cNvPr id="50" name="Rectangle: Rounded Corners 49">
          <a:extLst>
            <a:ext uri="{FF2B5EF4-FFF2-40B4-BE49-F238E27FC236}">
              <a16:creationId xmlns:a16="http://schemas.microsoft.com/office/drawing/2014/main" id="{6DD4D3FB-252F-428C-9EC3-1D7403F2E343}"/>
            </a:ext>
          </a:extLst>
        </xdr:cNvPr>
        <xdr:cNvSpPr/>
      </xdr:nvSpPr>
      <xdr:spPr>
        <a:xfrm>
          <a:off x="6940550" y="3600450"/>
          <a:ext cx="136525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SALES BY PLACES</a:t>
          </a:r>
        </a:p>
      </xdr:txBody>
    </xdr:sp>
    <xdr:clientData/>
  </xdr:twoCellAnchor>
  <xdr:twoCellAnchor>
    <xdr:from>
      <xdr:col>3</xdr:col>
      <xdr:colOff>241300</xdr:colOff>
      <xdr:row>19</xdr:row>
      <xdr:rowOff>69850</xdr:rowOff>
    </xdr:from>
    <xdr:to>
      <xdr:col>10</xdr:col>
      <xdr:colOff>234950</xdr:colOff>
      <xdr:row>27</xdr:row>
      <xdr:rowOff>101600</xdr:rowOff>
    </xdr:to>
    <xdr:graphicFrame macro="">
      <xdr:nvGraphicFramePr>
        <xdr:cNvPr id="55" name="Chart 54">
          <a:extLst>
            <a:ext uri="{FF2B5EF4-FFF2-40B4-BE49-F238E27FC236}">
              <a16:creationId xmlns:a16="http://schemas.microsoft.com/office/drawing/2014/main" id="{3821CA5B-8880-4CF7-A36D-43FF019FA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311150</xdr:colOff>
      <xdr:row>16</xdr:row>
      <xdr:rowOff>101600</xdr:rowOff>
    </xdr:from>
    <xdr:to>
      <xdr:col>6</xdr:col>
      <xdr:colOff>184150</xdr:colOff>
      <xdr:row>17</xdr:row>
      <xdr:rowOff>165100</xdr:rowOff>
    </xdr:to>
    <xdr:sp macro="" textlink="Pivot!D56">
      <xdr:nvSpPr>
        <xdr:cNvPr id="56" name="Rectangle: Rounded Corners 55">
          <a:extLst>
            <a:ext uri="{FF2B5EF4-FFF2-40B4-BE49-F238E27FC236}">
              <a16:creationId xmlns:a16="http://schemas.microsoft.com/office/drawing/2014/main" id="{CE41955B-0ACC-409F-9276-B073259A52A8}"/>
            </a:ext>
          </a:extLst>
        </xdr:cNvPr>
        <xdr:cNvSpPr/>
      </xdr:nvSpPr>
      <xdr:spPr>
        <a:xfrm>
          <a:off x="2952750" y="2946400"/>
          <a:ext cx="1193800" cy="2413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808FDA0-82C6-4614-938A-CEA0E7F59674}" type="TxLink">
            <a:rPr lang="en-US" sz="1400" b="1" i="0" u="none" strike="noStrike">
              <a:solidFill>
                <a:srgbClr val="000000"/>
              </a:solidFill>
              <a:latin typeface="Aptos Narrow"/>
            </a:rPr>
            <a:pPr algn="l"/>
            <a:t>16052685</a:t>
          </a:fld>
          <a:endParaRPr lang="en-IN" sz="1400" b="1"/>
        </a:p>
      </xdr:txBody>
    </xdr:sp>
    <xdr:clientData/>
  </xdr:twoCellAnchor>
  <xdr:twoCellAnchor>
    <xdr:from>
      <xdr:col>8</xdr:col>
      <xdr:colOff>165100</xdr:colOff>
      <xdr:row>16</xdr:row>
      <xdr:rowOff>127000</xdr:rowOff>
    </xdr:from>
    <xdr:to>
      <xdr:col>9</xdr:col>
      <xdr:colOff>457200</xdr:colOff>
      <xdr:row>18</xdr:row>
      <xdr:rowOff>127000</xdr:rowOff>
    </xdr:to>
    <xdr:sp macro="" textlink="Pivot!D62">
      <xdr:nvSpPr>
        <xdr:cNvPr id="59" name="Rectangle: Rounded Corners 58">
          <a:extLst>
            <a:ext uri="{FF2B5EF4-FFF2-40B4-BE49-F238E27FC236}">
              <a16:creationId xmlns:a16="http://schemas.microsoft.com/office/drawing/2014/main" id="{B2828F61-6393-4A65-97B8-EB52668AD74E}"/>
            </a:ext>
          </a:extLst>
        </xdr:cNvPr>
        <xdr:cNvSpPr/>
      </xdr:nvSpPr>
      <xdr:spPr>
        <a:xfrm>
          <a:off x="5448300" y="2971800"/>
          <a:ext cx="952500" cy="3556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E723560-E0F0-42C8-BED6-29C64F5DBFC8}" type="TxLink">
            <a:rPr lang="en-US" sz="1600" b="1" i="0" u="none" strike="noStrike">
              <a:solidFill>
                <a:srgbClr val="000000"/>
              </a:solidFill>
              <a:latin typeface="Aptos Narrow"/>
            </a:rPr>
            <a:pPr algn="l"/>
            <a:t>56</a:t>
          </a:fld>
          <a:endParaRPr lang="en-IN" sz="1600" b="1"/>
        </a:p>
      </xdr:txBody>
    </xdr:sp>
    <xdr:clientData/>
  </xdr:twoCellAnchor>
  <xdr:twoCellAnchor>
    <xdr:from>
      <xdr:col>7</xdr:col>
      <xdr:colOff>615950</xdr:colOff>
      <xdr:row>15</xdr:row>
      <xdr:rowOff>63500</xdr:rowOff>
    </xdr:from>
    <xdr:to>
      <xdr:col>9</xdr:col>
      <xdr:colOff>539750</xdr:colOff>
      <xdr:row>17</xdr:row>
      <xdr:rowOff>12700</xdr:rowOff>
    </xdr:to>
    <xdr:sp macro="" textlink="">
      <xdr:nvSpPr>
        <xdr:cNvPr id="41" name="Rectangle: Rounded Corners 40">
          <a:extLst>
            <a:ext uri="{FF2B5EF4-FFF2-40B4-BE49-F238E27FC236}">
              <a16:creationId xmlns:a16="http://schemas.microsoft.com/office/drawing/2014/main" id="{A50ED2DC-2F26-4DAA-8224-2D414FDC4E9F}"/>
            </a:ext>
          </a:extLst>
        </xdr:cNvPr>
        <xdr:cNvSpPr/>
      </xdr:nvSpPr>
      <xdr:spPr>
        <a:xfrm>
          <a:off x="5238750" y="2730500"/>
          <a:ext cx="1244600" cy="3048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70C0"/>
              </a:solidFill>
            </a:rPr>
            <a:t>TOTAL SALES</a:t>
          </a:r>
        </a:p>
      </xdr:txBody>
    </xdr:sp>
    <xdr:clientData/>
  </xdr:twoCellAnchor>
  <xdr:twoCellAnchor>
    <xdr:from>
      <xdr:col>5</xdr:col>
      <xdr:colOff>304800</xdr:colOff>
      <xdr:row>19</xdr:row>
      <xdr:rowOff>114300</xdr:rowOff>
    </xdr:from>
    <xdr:to>
      <xdr:col>7</xdr:col>
      <xdr:colOff>527050</xdr:colOff>
      <xdr:row>21</xdr:row>
      <xdr:rowOff>69850</xdr:rowOff>
    </xdr:to>
    <xdr:sp macro="" textlink="">
      <xdr:nvSpPr>
        <xdr:cNvPr id="48" name="Rectangle: Rounded Corners 47">
          <a:extLst>
            <a:ext uri="{FF2B5EF4-FFF2-40B4-BE49-F238E27FC236}">
              <a16:creationId xmlns:a16="http://schemas.microsoft.com/office/drawing/2014/main" id="{7B6265A7-CC79-4BCD-983E-BDE32FF80B42}"/>
            </a:ext>
          </a:extLst>
        </xdr:cNvPr>
        <xdr:cNvSpPr/>
      </xdr:nvSpPr>
      <xdr:spPr>
        <a:xfrm>
          <a:off x="3606800" y="3492500"/>
          <a:ext cx="154305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SALES OF PRODUCTS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0</xdr:row>
      <xdr:rowOff>31750</xdr:rowOff>
    </xdr:from>
    <xdr:to>
      <xdr:col>17</xdr:col>
      <xdr:colOff>635000</xdr:colOff>
      <xdr:row>28</xdr:row>
      <xdr:rowOff>63500</xdr:rowOff>
    </xdr:to>
    <xdr:sp macro="" textlink="">
      <xdr:nvSpPr>
        <xdr:cNvPr id="2" name="Rectangle: Rounded Corners 1">
          <a:extLst>
            <a:ext uri="{FF2B5EF4-FFF2-40B4-BE49-F238E27FC236}">
              <a16:creationId xmlns:a16="http://schemas.microsoft.com/office/drawing/2014/main" id="{79E7F449-3DB7-4EE6-9B16-84190D8F2BDF}"/>
            </a:ext>
          </a:extLst>
        </xdr:cNvPr>
        <xdr:cNvSpPr/>
      </xdr:nvSpPr>
      <xdr:spPr>
        <a:xfrm>
          <a:off x="6350" y="31750"/>
          <a:ext cx="11855450" cy="5010150"/>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133350</xdr:colOff>
      <xdr:row>0</xdr:row>
      <xdr:rowOff>107950</xdr:rowOff>
    </xdr:from>
    <xdr:to>
      <xdr:col>17</xdr:col>
      <xdr:colOff>254000</xdr:colOff>
      <xdr:row>27</xdr:row>
      <xdr:rowOff>165100</xdr:rowOff>
    </xdr:to>
    <xdr:sp macro="" textlink="">
      <xdr:nvSpPr>
        <xdr:cNvPr id="3" name="Rectangle: Rounded Corners 2">
          <a:extLst>
            <a:ext uri="{FF2B5EF4-FFF2-40B4-BE49-F238E27FC236}">
              <a16:creationId xmlns:a16="http://schemas.microsoft.com/office/drawing/2014/main" id="{6FF85761-4103-4D68-973C-C0995AEF20E1}"/>
            </a:ext>
          </a:extLst>
        </xdr:cNvPr>
        <xdr:cNvSpPr/>
      </xdr:nvSpPr>
      <xdr:spPr>
        <a:xfrm>
          <a:off x="2114550" y="107950"/>
          <a:ext cx="9366250" cy="4857750"/>
        </a:xfrm>
        <a:prstGeom prst="roundRect">
          <a:avLst>
            <a:gd name="adj" fmla="val 3486"/>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165100</xdr:colOff>
      <xdr:row>0</xdr:row>
      <xdr:rowOff>171450</xdr:rowOff>
    </xdr:from>
    <xdr:to>
      <xdr:col>11</xdr:col>
      <xdr:colOff>406400</xdr:colOff>
      <xdr:row>8</xdr:row>
      <xdr:rowOff>76200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5205CA61-AE6B-4B30-893C-73FCA946CD4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46300" y="171450"/>
              <a:ext cx="5524500" cy="1327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438150</xdr:colOff>
      <xdr:row>0</xdr:row>
      <xdr:rowOff>171450</xdr:rowOff>
    </xdr:from>
    <xdr:to>
      <xdr:col>17</xdr:col>
      <xdr:colOff>196850</xdr:colOff>
      <xdr:row>8</xdr:row>
      <xdr:rowOff>82550</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5771DD07-3DF9-451B-AC91-DD6C854FB392}"/>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702550" y="171450"/>
              <a:ext cx="37211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158750</xdr:colOff>
      <xdr:row>8</xdr:row>
      <xdr:rowOff>120650</xdr:rowOff>
    </xdr:from>
    <xdr:to>
      <xdr:col>17</xdr:col>
      <xdr:colOff>171450</xdr:colOff>
      <xdr:row>12</xdr:row>
      <xdr:rowOff>107950</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3B52FBB5-6286-43B3-81E1-1CE791DDFC66}"/>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139950" y="1543050"/>
              <a:ext cx="9258300"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12</xdr:row>
      <xdr:rowOff>95250</xdr:rowOff>
    </xdr:from>
    <xdr:to>
      <xdr:col>3</xdr:col>
      <xdr:colOff>546100</xdr:colOff>
      <xdr:row>14</xdr:row>
      <xdr:rowOff>171450</xdr:rowOff>
    </xdr:to>
    <xdr:pic>
      <xdr:nvPicPr>
        <xdr:cNvPr id="7" name="Graphic 6" descr="Bar chart">
          <a:extLst>
            <a:ext uri="{FF2B5EF4-FFF2-40B4-BE49-F238E27FC236}">
              <a16:creationId xmlns:a16="http://schemas.microsoft.com/office/drawing/2014/main" id="{A68CFF1A-28A4-45C8-A751-111D23D45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95500" y="2228850"/>
          <a:ext cx="431800" cy="431800"/>
        </a:xfrm>
        <a:prstGeom prst="rect">
          <a:avLst/>
        </a:prstGeom>
      </xdr:spPr>
    </xdr:pic>
    <xdr:clientData/>
  </xdr:twoCellAnchor>
  <xdr:twoCellAnchor>
    <xdr:from>
      <xdr:col>3</xdr:col>
      <xdr:colOff>508000</xdr:colOff>
      <xdr:row>12</xdr:row>
      <xdr:rowOff>146050</xdr:rowOff>
    </xdr:from>
    <xdr:to>
      <xdr:col>5</xdr:col>
      <xdr:colOff>533400</xdr:colOff>
      <xdr:row>14</xdr:row>
      <xdr:rowOff>95250</xdr:rowOff>
    </xdr:to>
    <xdr:sp macro="" textlink="">
      <xdr:nvSpPr>
        <xdr:cNvPr id="8" name="Rectangle 7">
          <a:extLst>
            <a:ext uri="{FF2B5EF4-FFF2-40B4-BE49-F238E27FC236}">
              <a16:creationId xmlns:a16="http://schemas.microsoft.com/office/drawing/2014/main" id="{396EA7D8-4025-4D49-BA05-18FBF97CDDA7}"/>
            </a:ext>
          </a:extLst>
        </xdr:cNvPr>
        <xdr:cNvSpPr/>
      </xdr:nvSpPr>
      <xdr:spPr>
        <a:xfrm>
          <a:off x="2489200" y="2279650"/>
          <a:ext cx="134620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n>
                <a:noFill/>
              </a:ln>
              <a:solidFill>
                <a:srgbClr val="0070C0"/>
              </a:solidFill>
            </a:rPr>
            <a:t>Analytics</a:t>
          </a:r>
          <a:r>
            <a:rPr lang="en-US" sz="1800" b="1">
              <a:ln>
                <a:noFill/>
              </a:ln>
              <a:solidFill>
                <a:srgbClr val="002060"/>
              </a:solidFill>
            </a:rPr>
            <a:t> </a:t>
          </a:r>
          <a:endParaRPr lang="en-IN" sz="1800" b="1">
            <a:ln>
              <a:noFill/>
            </a:ln>
            <a:solidFill>
              <a:srgbClr val="002060"/>
            </a:solidFill>
          </a:endParaRPr>
        </a:p>
      </xdr:txBody>
    </xdr:sp>
    <xdr:clientData/>
  </xdr:twoCellAnchor>
  <xdr:twoCellAnchor>
    <xdr:from>
      <xdr:col>3</xdr:col>
      <xdr:colOff>190500</xdr:colOff>
      <xdr:row>15</xdr:row>
      <xdr:rowOff>0</xdr:rowOff>
    </xdr:from>
    <xdr:to>
      <xdr:col>10</xdr:col>
      <xdr:colOff>241300</xdr:colOff>
      <xdr:row>27</xdr:row>
      <xdr:rowOff>76200</xdr:rowOff>
    </xdr:to>
    <xdr:sp macro="" textlink="">
      <xdr:nvSpPr>
        <xdr:cNvPr id="11" name="Rectangle 10">
          <a:extLst>
            <a:ext uri="{FF2B5EF4-FFF2-40B4-BE49-F238E27FC236}">
              <a16:creationId xmlns:a16="http://schemas.microsoft.com/office/drawing/2014/main" id="{1B32C4B7-70B7-4CB7-BE3E-7C5622FBD744}"/>
            </a:ext>
          </a:extLst>
        </xdr:cNvPr>
        <xdr:cNvSpPr/>
      </xdr:nvSpPr>
      <xdr:spPr>
        <a:xfrm>
          <a:off x="2171700" y="2667000"/>
          <a:ext cx="4673600" cy="2209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273050</xdr:colOff>
      <xdr:row>12</xdr:row>
      <xdr:rowOff>127000</xdr:rowOff>
    </xdr:from>
    <xdr:to>
      <xdr:col>17</xdr:col>
      <xdr:colOff>152400</xdr:colOff>
      <xdr:row>19</xdr:row>
      <xdr:rowOff>152400</xdr:rowOff>
    </xdr:to>
    <xdr:sp macro="" textlink="">
      <xdr:nvSpPr>
        <xdr:cNvPr id="12" name="Rectangle 11">
          <a:extLst>
            <a:ext uri="{FF2B5EF4-FFF2-40B4-BE49-F238E27FC236}">
              <a16:creationId xmlns:a16="http://schemas.microsoft.com/office/drawing/2014/main" id="{387A4386-DC56-4148-BCA0-C61E7A893ED3}"/>
            </a:ext>
          </a:extLst>
        </xdr:cNvPr>
        <xdr:cNvSpPr/>
      </xdr:nvSpPr>
      <xdr:spPr>
        <a:xfrm>
          <a:off x="6877050" y="2260600"/>
          <a:ext cx="4502150" cy="1270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273050</xdr:colOff>
      <xdr:row>19</xdr:row>
      <xdr:rowOff>171450</xdr:rowOff>
    </xdr:from>
    <xdr:to>
      <xdr:col>17</xdr:col>
      <xdr:colOff>171450</xdr:colOff>
      <xdr:row>27</xdr:row>
      <xdr:rowOff>76200</xdr:rowOff>
    </xdr:to>
    <xdr:sp macro="" textlink="">
      <xdr:nvSpPr>
        <xdr:cNvPr id="13" name="Rectangle 12">
          <a:extLst>
            <a:ext uri="{FF2B5EF4-FFF2-40B4-BE49-F238E27FC236}">
              <a16:creationId xmlns:a16="http://schemas.microsoft.com/office/drawing/2014/main" id="{87166730-1AC0-4FBA-AC67-B58B6C829B82}"/>
            </a:ext>
          </a:extLst>
        </xdr:cNvPr>
        <xdr:cNvSpPr/>
      </xdr:nvSpPr>
      <xdr:spPr>
        <a:xfrm>
          <a:off x="6877050" y="3549650"/>
          <a:ext cx="4521200" cy="13271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273050</xdr:colOff>
      <xdr:row>4</xdr:row>
      <xdr:rowOff>114300</xdr:rowOff>
    </xdr:from>
    <xdr:to>
      <xdr:col>2</xdr:col>
      <xdr:colOff>590550</xdr:colOff>
      <xdr:row>7</xdr:row>
      <xdr:rowOff>88900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F28C8A81-7F78-4709-BD45-848B6579C3C6}"/>
            </a:ext>
          </a:extLst>
        </xdr:cNvPr>
        <xdr:cNvSpPr/>
      </xdr:nvSpPr>
      <xdr:spPr>
        <a:xfrm>
          <a:off x="273050" y="825500"/>
          <a:ext cx="1638300" cy="508000"/>
        </a:xfrm>
        <a:prstGeom prst="roundRect">
          <a:avLst/>
        </a:prstGeom>
        <a:solidFill>
          <a:schemeClr val="accent4">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DASHBOARD</a:t>
          </a:r>
        </a:p>
      </xdr:txBody>
    </xdr:sp>
    <xdr:clientData/>
  </xdr:twoCellAnchor>
  <xdr:twoCellAnchor>
    <xdr:from>
      <xdr:col>0</xdr:col>
      <xdr:colOff>260350</xdr:colOff>
      <xdr:row>8</xdr:row>
      <xdr:rowOff>82550</xdr:rowOff>
    </xdr:from>
    <xdr:to>
      <xdr:col>2</xdr:col>
      <xdr:colOff>558800</xdr:colOff>
      <xdr:row>11</xdr:row>
      <xdr:rowOff>63500</xdr:rowOff>
    </xdr:to>
    <xdr:sp macro="" textlink="">
      <xdr:nvSpPr>
        <xdr:cNvPr id="15" name="Rectangle: Rounded Corners 14">
          <a:extLst>
            <a:ext uri="{FF2B5EF4-FFF2-40B4-BE49-F238E27FC236}">
              <a16:creationId xmlns:a16="http://schemas.microsoft.com/office/drawing/2014/main" id="{AA273820-225B-498F-B782-6D19C9A6C994}"/>
            </a:ext>
          </a:extLst>
        </xdr:cNvPr>
        <xdr:cNvSpPr/>
      </xdr:nvSpPr>
      <xdr:spPr>
        <a:xfrm>
          <a:off x="260350" y="1504950"/>
          <a:ext cx="1619250" cy="514350"/>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PRODUCTS</a:t>
          </a:r>
          <a:endParaRPr lang="en-IN" sz="2400" b="1">
            <a:solidFill>
              <a:schemeClr val="tx1"/>
            </a:solidFill>
          </a:endParaRPr>
        </a:p>
      </xdr:txBody>
    </xdr:sp>
    <xdr:clientData/>
  </xdr:twoCellAnchor>
  <xdr:twoCellAnchor>
    <xdr:from>
      <xdr:col>0</xdr:col>
      <xdr:colOff>330200</xdr:colOff>
      <xdr:row>12</xdr:row>
      <xdr:rowOff>44450</xdr:rowOff>
    </xdr:from>
    <xdr:to>
      <xdr:col>2</xdr:col>
      <xdr:colOff>501650</xdr:colOff>
      <xdr:row>14</xdr:row>
      <xdr:rowOff>165100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A41F950F-1017-46F3-9594-9847B6C75010}"/>
            </a:ext>
          </a:extLst>
        </xdr:cNvPr>
        <xdr:cNvSpPr/>
      </xdr:nvSpPr>
      <xdr:spPr>
        <a:xfrm>
          <a:off x="330200" y="2178050"/>
          <a:ext cx="1492250" cy="47625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SALESMENS</a:t>
          </a:r>
        </a:p>
      </xdr:txBody>
    </xdr:sp>
    <xdr:clientData/>
  </xdr:twoCellAnchor>
  <xdr:twoCellAnchor>
    <xdr:from>
      <xdr:col>0</xdr:col>
      <xdr:colOff>336550</xdr:colOff>
      <xdr:row>15</xdr:row>
      <xdr:rowOff>158750</xdr:rowOff>
    </xdr:from>
    <xdr:to>
      <xdr:col>2</xdr:col>
      <xdr:colOff>469900</xdr:colOff>
      <xdr:row>18</xdr:row>
      <xdr:rowOff>127000</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5ADA1107-06B8-4840-B275-70F99D9A4169}"/>
            </a:ext>
          </a:extLst>
        </xdr:cNvPr>
        <xdr:cNvSpPr/>
      </xdr:nvSpPr>
      <xdr:spPr>
        <a:xfrm>
          <a:off x="336550" y="2825750"/>
          <a:ext cx="1454150" cy="50165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ABOUT</a:t>
          </a:r>
          <a:endParaRPr lang="en-IN" sz="1050" b="1"/>
        </a:p>
      </xdr:txBody>
    </xdr:sp>
    <xdr:clientData/>
  </xdr:twoCellAnchor>
  <xdr:twoCellAnchor>
    <xdr:from>
      <xdr:col>10</xdr:col>
      <xdr:colOff>285750</xdr:colOff>
      <xdr:row>12</xdr:row>
      <xdr:rowOff>95250</xdr:rowOff>
    </xdr:from>
    <xdr:to>
      <xdr:col>17</xdr:col>
      <xdr:colOff>196850</xdr:colOff>
      <xdr:row>19</xdr:row>
      <xdr:rowOff>133350</xdr:rowOff>
    </xdr:to>
    <xdr:graphicFrame macro="">
      <xdr:nvGraphicFramePr>
        <xdr:cNvPr id="38" name="Chart 37">
          <a:extLst>
            <a:ext uri="{FF2B5EF4-FFF2-40B4-BE49-F238E27FC236}">
              <a16:creationId xmlns:a16="http://schemas.microsoft.com/office/drawing/2014/main" id="{5AFE1A96-759B-4FA8-AFCB-FE65298D5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298450</xdr:colOff>
      <xdr:row>20</xdr:row>
      <xdr:rowOff>57150</xdr:rowOff>
    </xdr:from>
    <xdr:to>
      <xdr:col>17</xdr:col>
      <xdr:colOff>184150</xdr:colOff>
      <xdr:row>27</xdr:row>
      <xdr:rowOff>38100</xdr:rowOff>
    </xdr:to>
    <xdr:graphicFrame macro="">
      <xdr:nvGraphicFramePr>
        <xdr:cNvPr id="39" name="Chart 38">
          <a:extLst>
            <a:ext uri="{FF2B5EF4-FFF2-40B4-BE49-F238E27FC236}">
              <a16:creationId xmlns:a16="http://schemas.microsoft.com/office/drawing/2014/main" id="{072661B0-932B-499C-868A-8E6356EF5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368300</xdr:colOff>
      <xdr:row>12</xdr:row>
      <xdr:rowOff>19050</xdr:rowOff>
    </xdr:from>
    <xdr:to>
      <xdr:col>17</xdr:col>
      <xdr:colOff>190500</xdr:colOff>
      <xdr:row>13</xdr:row>
      <xdr:rowOff>152400</xdr:rowOff>
    </xdr:to>
    <xdr:sp macro="" textlink="">
      <xdr:nvSpPr>
        <xdr:cNvPr id="32" name="Rectangle: Rounded Corners 31">
          <a:extLst>
            <a:ext uri="{FF2B5EF4-FFF2-40B4-BE49-F238E27FC236}">
              <a16:creationId xmlns:a16="http://schemas.microsoft.com/office/drawing/2014/main" id="{6236CC84-ED1A-4F0B-BE80-763041561FE9}"/>
            </a:ext>
          </a:extLst>
        </xdr:cNvPr>
        <xdr:cNvSpPr/>
      </xdr:nvSpPr>
      <xdr:spPr>
        <a:xfrm>
          <a:off x="6972300" y="2152650"/>
          <a:ext cx="444500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TOP</a:t>
          </a:r>
          <a:r>
            <a:rPr lang="en-IN" sz="1200" b="1" baseline="0">
              <a:solidFill>
                <a:srgbClr val="0070C0"/>
              </a:solidFill>
            </a:rPr>
            <a:t> 3 SELLING PRODUCTS</a:t>
          </a:r>
          <a:endParaRPr lang="en-IN" sz="1200" b="1">
            <a:solidFill>
              <a:srgbClr val="0070C0"/>
            </a:solidFill>
          </a:endParaRPr>
        </a:p>
      </xdr:txBody>
    </xdr:sp>
    <xdr:clientData/>
  </xdr:twoCellAnchor>
  <xdr:twoCellAnchor>
    <xdr:from>
      <xdr:col>10</xdr:col>
      <xdr:colOff>273050</xdr:colOff>
      <xdr:row>19</xdr:row>
      <xdr:rowOff>95250</xdr:rowOff>
    </xdr:from>
    <xdr:to>
      <xdr:col>17</xdr:col>
      <xdr:colOff>133350</xdr:colOff>
      <xdr:row>21</xdr:row>
      <xdr:rowOff>50800</xdr:rowOff>
    </xdr:to>
    <xdr:sp macro="" textlink="">
      <xdr:nvSpPr>
        <xdr:cNvPr id="36" name="Rectangle: Rounded Corners 35">
          <a:extLst>
            <a:ext uri="{FF2B5EF4-FFF2-40B4-BE49-F238E27FC236}">
              <a16:creationId xmlns:a16="http://schemas.microsoft.com/office/drawing/2014/main" id="{E64DB51B-34A8-4E72-AA88-CEE337FC9C1B}"/>
            </a:ext>
          </a:extLst>
        </xdr:cNvPr>
        <xdr:cNvSpPr/>
      </xdr:nvSpPr>
      <xdr:spPr>
        <a:xfrm>
          <a:off x="6877050" y="3473450"/>
          <a:ext cx="448310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BOTTOM</a:t>
          </a:r>
          <a:r>
            <a:rPr lang="en-IN" sz="1200" b="1" baseline="0">
              <a:solidFill>
                <a:srgbClr val="0070C0"/>
              </a:solidFill>
            </a:rPr>
            <a:t> 3 SELLING PRODUCTS</a:t>
          </a:r>
          <a:endParaRPr lang="en-IN" sz="1200" b="1">
            <a:solidFill>
              <a:srgbClr val="0070C0"/>
            </a:solidFill>
          </a:endParaRPr>
        </a:p>
      </xdr:txBody>
    </xdr:sp>
    <xdr:clientData/>
  </xdr:twoCellAnchor>
  <xdr:twoCellAnchor>
    <xdr:from>
      <xdr:col>3</xdr:col>
      <xdr:colOff>234950</xdr:colOff>
      <xdr:row>15</xdr:row>
      <xdr:rowOff>0</xdr:rowOff>
    </xdr:from>
    <xdr:to>
      <xdr:col>10</xdr:col>
      <xdr:colOff>247650</xdr:colOff>
      <xdr:row>27</xdr:row>
      <xdr:rowOff>44450</xdr:rowOff>
    </xdr:to>
    <xdr:graphicFrame macro="">
      <xdr:nvGraphicFramePr>
        <xdr:cNvPr id="21" name="Chart 20">
          <a:extLst>
            <a:ext uri="{FF2B5EF4-FFF2-40B4-BE49-F238E27FC236}">
              <a16:creationId xmlns:a16="http://schemas.microsoft.com/office/drawing/2014/main" id="{38D71749-139D-4FBE-98B1-339ACF319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209550</xdr:colOff>
      <xdr:row>15</xdr:row>
      <xdr:rowOff>38100</xdr:rowOff>
    </xdr:from>
    <xdr:to>
      <xdr:col>6</xdr:col>
      <xdr:colOff>266700</xdr:colOff>
      <xdr:row>16</xdr:row>
      <xdr:rowOff>171450</xdr:rowOff>
    </xdr:to>
    <xdr:sp macro="" textlink="">
      <xdr:nvSpPr>
        <xdr:cNvPr id="37" name="Rectangle: Rounded Corners 36">
          <a:extLst>
            <a:ext uri="{FF2B5EF4-FFF2-40B4-BE49-F238E27FC236}">
              <a16:creationId xmlns:a16="http://schemas.microsoft.com/office/drawing/2014/main" id="{ED4D37BA-3834-47B8-9A06-0A248BC3EA52}"/>
            </a:ext>
          </a:extLst>
        </xdr:cNvPr>
        <xdr:cNvSpPr/>
      </xdr:nvSpPr>
      <xdr:spPr>
        <a:xfrm>
          <a:off x="2190750" y="2705100"/>
          <a:ext cx="203835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SALES</a:t>
          </a:r>
          <a:r>
            <a:rPr lang="en-IN" sz="1200" b="1" baseline="0">
              <a:solidFill>
                <a:srgbClr val="0070C0"/>
              </a:solidFill>
            </a:rPr>
            <a:t> OF PRODUCTS BY QTY</a:t>
          </a:r>
          <a:endParaRPr lang="en-IN" sz="1200" b="1">
            <a:solidFill>
              <a:srgbClr val="0070C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31750</xdr:rowOff>
    </xdr:from>
    <xdr:to>
      <xdr:col>17</xdr:col>
      <xdr:colOff>381000</xdr:colOff>
      <xdr:row>28</xdr:row>
      <xdr:rowOff>63500</xdr:rowOff>
    </xdr:to>
    <xdr:sp macro="" textlink="">
      <xdr:nvSpPr>
        <xdr:cNvPr id="2" name="Rectangle: Rounded Corners 1">
          <a:extLst>
            <a:ext uri="{FF2B5EF4-FFF2-40B4-BE49-F238E27FC236}">
              <a16:creationId xmlns:a16="http://schemas.microsoft.com/office/drawing/2014/main" id="{A492CA19-FA59-425E-BE00-C9CAB36DD228}"/>
            </a:ext>
          </a:extLst>
        </xdr:cNvPr>
        <xdr:cNvSpPr/>
      </xdr:nvSpPr>
      <xdr:spPr>
        <a:xfrm>
          <a:off x="0" y="31750"/>
          <a:ext cx="11607800" cy="5010150"/>
        </a:xfrm>
        <a:prstGeom prst="roundRect">
          <a:avLst>
            <a:gd name="adj" fmla="val 31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133350</xdr:colOff>
      <xdr:row>0</xdr:row>
      <xdr:rowOff>107950</xdr:rowOff>
    </xdr:from>
    <xdr:to>
      <xdr:col>17</xdr:col>
      <xdr:colOff>254000</xdr:colOff>
      <xdr:row>27</xdr:row>
      <xdr:rowOff>165100</xdr:rowOff>
    </xdr:to>
    <xdr:sp macro="" textlink="">
      <xdr:nvSpPr>
        <xdr:cNvPr id="3" name="Rectangle: Rounded Corners 2">
          <a:extLst>
            <a:ext uri="{FF2B5EF4-FFF2-40B4-BE49-F238E27FC236}">
              <a16:creationId xmlns:a16="http://schemas.microsoft.com/office/drawing/2014/main" id="{476A8A1E-8D23-441B-B30F-9CC26BC6069D}"/>
            </a:ext>
          </a:extLst>
        </xdr:cNvPr>
        <xdr:cNvSpPr/>
      </xdr:nvSpPr>
      <xdr:spPr>
        <a:xfrm>
          <a:off x="2114550" y="107950"/>
          <a:ext cx="9366250" cy="4857750"/>
        </a:xfrm>
        <a:prstGeom prst="roundRect">
          <a:avLst>
            <a:gd name="adj" fmla="val 3486"/>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165100</xdr:colOff>
      <xdr:row>0</xdr:row>
      <xdr:rowOff>171450</xdr:rowOff>
    </xdr:from>
    <xdr:to>
      <xdr:col>11</xdr:col>
      <xdr:colOff>406400</xdr:colOff>
      <xdr:row>8</xdr:row>
      <xdr:rowOff>76200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A4233A76-19E0-43A0-A586-0922C9C840AF}"/>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46300" y="171450"/>
              <a:ext cx="5524500" cy="1327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438150</xdr:colOff>
      <xdr:row>0</xdr:row>
      <xdr:rowOff>171450</xdr:rowOff>
    </xdr:from>
    <xdr:to>
      <xdr:col>17</xdr:col>
      <xdr:colOff>196850</xdr:colOff>
      <xdr:row>8</xdr:row>
      <xdr:rowOff>82550</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377BB92A-7608-4542-956C-D4F96DA955AB}"/>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702550" y="171450"/>
              <a:ext cx="37211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158750</xdr:colOff>
      <xdr:row>8</xdr:row>
      <xdr:rowOff>120650</xdr:rowOff>
    </xdr:from>
    <xdr:to>
      <xdr:col>17</xdr:col>
      <xdr:colOff>171450</xdr:colOff>
      <xdr:row>12</xdr:row>
      <xdr:rowOff>107950</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9F4DE800-8D53-44D3-B633-FDAAC6F87560}"/>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139950" y="1543050"/>
              <a:ext cx="9258300"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12</xdr:row>
      <xdr:rowOff>95250</xdr:rowOff>
    </xdr:from>
    <xdr:to>
      <xdr:col>3</xdr:col>
      <xdr:colOff>546100</xdr:colOff>
      <xdr:row>14</xdr:row>
      <xdr:rowOff>171450</xdr:rowOff>
    </xdr:to>
    <xdr:pic>
      <xdr:nvPicPr>
        <xdr:cNvPr id="7" name="Graphic 6" descr="Bar chart">
          <a:extLst>
            <a:ext uri="{FF2B5EF4-FFF2-40B4-BE49-F238E27FC236}">
              <a16:creationId xmlns:a16="http://schemas.microsoft.com/office/drawing/2014/main" id="{DB7D677E-603B-4F2F-B737-4F997C472E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95500" y="2228850"/>
          <a:ext cx="431800" cy="431800"/>
        </a:xfrm>
        <a:prstGeom prst="rect">
          <a:avLst/>
        </a:prstGeom>
      </xdr:spPr>
    </xdr:pic>
    <xdr:clientData/>
  </xdr:twoCellAnchor>
  <xdr:twoCellAnchor>
    <xdr:from>
      <xdr:col>3</xdr:col>
      <xdr:colOff>508000</xdr:colOff>
      <xdr:row>12</xdr:row>
      <xdr:rowOff>146050</xdr:rowOff>
    </xdr:from>
    <xdr:to>
      <xdr:col>5</xdr:col>
      <xdr:colOff>533400</xdr:colOff>
      <xdr:row>14</xdr:row>
      <xdr:rowOff>95250</xdr:rowOff>
    </xdr:to>
    <xdr:sp macro="" textlink="">
      <xdr:nvSpPr>
        <xdr:cNvPr id="8" name="Rectangle 7">
          <a:extLst>
            <a:ext uri="{FF2B5EF4-FFF2-40B4-BE49-F238E27FC236}">
              <a16:creationId xmlns:a16="http://schemas.microsoft.com/office/drawing/2014/main" id="{8EA191D8-70A1-480F-BA8B-AAA98D49CC92}"/>
            </a:ext>
          </a:extLst>
        </xdr:cNvPr>
        <xdr:cNvSpPr/>
      </xdr:nvSpPr>
      <xdr:spPr>
        <a:xfrm>
          <a:off x="2489200" y="2279650"/>
          <a:ext cx="134620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n>
                <a:noFill/>
              </a:ln>
              <a:solidFill>
                <a:srgbClr val="0070C0"/>
              </a:solidFill>
            </a:rPr>
            <a:t>Analytics</a:t>
          </a:r>
          <a:r>
            <a:rPr lang="en-US" sz="1800" b="1">
              <a:ln>
                <a:noFill/>
              </a:ln>
              <a:solidFill>
                <a:srgbClr val="002060"/>
              </a:solidFill>
            </a:rPr>
            <a:t> </a:t>
          </a:r>
          <a:endParaRPr lang="en-IN" sz="1800" b="1">
            <a:ln>
              <a:noFill/>
            </a:ln>
            <a:solidFill>
              <a:srgbClr val="002060"/>
            </a:solidFill>
          </a:endParaRPr>
        </a:p>
      </xdr:txBody>
    </xdr:sp>
    <xdr:clientData/>
  </xdr:twoCellAnchor>
  <xdr:twoCellAnchor>
    <xdr:from>
      <xdr:col>3</xdr:col>
      <xdr:colOff>190500</xdr:colOff>
      <xdr:row>15</xdr:row>
      <xdr:rowOff>0</xdr:rowOff>
    </xdr:from>
    <xdr:to>
      <xdr:col>10</xdr:col>
      <xdr:colOff>241300</xdr:colOff>
      <xdr:row>27</xdr:row>
      <xdr:rowOff>76200</xdr:rowOff>
    </xdr:to>
    <xdr:sp macro="" textlink="">
      <xdr:nvSpPr>
        <xdr:cNvPr id="9" name="Rectangle 8">
          <a:extLst>
            <a:ext uri="{FF2B5EF4-FFF2-40B4-BE49-F238E27FC236}">
              <a16:creationId xmlns:a16="http://schemas.microsoft.com/office/drawing/2014/main" id="{09138504-FE9F-4BB9-BB65-0E4467B49926}"/>
            </a:ext>
          </a:extLst>
        </xdr:cNvPr>
        <xdr:cNvSpPr/>
      </xdr:nvSpPr>
      <xdr:spPr>
        <a:xfrm>
          <a:off x="2171700" y="2667000"/>
          <a:ext cx="4673600" cy="2209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273050</xdr:colOff>
      <xdr:row>12</xdr:row>
      <xdr:rowOff>127000</xdr:rowOff>
    </xdr:from>
    <xdr:to>
      <xdr:col>17</xdr:col>
      <xdr:colOff>152400</xdr:colOff>
      <xdr:row>19</xdr:row>
      <xdr:rowOff>152400</xdr:rowOff>
    </xdr:to>
    <xdr:sp macro="" textlink="">
      <xdr:nvSpPr>
        <xdr:cNvPr id="10" name="Rectangle 9">
          <a:extLst>
            <a:ext uri="{FF2B5EF4-FFF2-40B4-BE49-F238E27FC236}">
              <a16:creationId xmlns:a16="http://schemas.microsoft.com/office/drawing/2014/main" id="{8D1DE5CA-49C9-4088-AB60-BFD82B7596F6}"/>
            </a:ext>
          </a:extLst>
        </xdr:cNvPr>
        <xdr:cNvSpPr/>
      </xdr:nvSpPr>
      <xdr:spPr>
        <a:xfrm>
          <a:off x="6877050" y="2260600"/>
          <a:ext cx="4502150" cy="12700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273050</xdr:colOff>
      <xdr:row>19</xdr:row>
      <xdr:rowOff>171450</xdr:rowOff>
    </xdr:from>
    <xdr:to>
      <xdr:col>17</xdr:col>
      <xdr:colOff>171450</xdr:colOff>
      <xdr:row>27</xdr:row>
      <xdr:rowOff>95250</xdr:rowOff>
    </xdr:to>
    <xdr:sp macro="" textlink="">
      <xdr:nvSpPr>
        <xdr:cNvPr id="11" name="Rectangle 10">
          <a:extLst>
            <a:ext uri="{FF2B5EF4-FFF2-40B4-BE49-F238E27FC236}">
              <a16:creationId xmlns:a16="http://schemas.microsoft.com/office/drawing/2014/main" id="{C9BC3701-C27A-458B-9F33-8A0D49F2446C}"/>
            </a:ext>
          </a:extLst>
        </xdr:cNvPr>
        <xdr:cNvSpPr/>
      </xdr:nvSpPr>
      <xdr:spPr>
        <a:xfrm>
          <a:off x="6877050" y="3549650"/>
          <a:ext cx="4521200" cy="13462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273050</xdr:colOff>
      <xdr:row>4</xdr:row>
      <xdr:rowOff>114300</xdr:rowOff>
    </xdr:from>
    <xdr:to>
      <xdr:col>2</xdr:col>
      <xdr:colOff>590550</xdr:colOff>
      <xdr:row>7</xdr:row>
      <xdr:rowOff>88900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90E39E08-6BA8-4DD4-9911-9FAB8C7321A3}"/>
            </a:ext>
          </a:extLst>
        </xdr:cNvPr>
        <xdr:cNvSpPr/>
      </xdr:nvSpPr>
      <xdr:spPr>
        <a:xfrm>
          <a:off x="273050" y="825500"/>
          <a:ext cx="1638300" cy="508000"/>
        </a:xfrm>
        <a:prstGeom prst="roundRect">
          <a:avLst/>
        </a:prstGeom>
        <a:solidFill>
          <a:schemeClr val="accent4">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DASHBOARD</a:t>
          </a:r>
        </a:p>
      </xdr:txBody>
    </xdr:sp>
    <xdr:clientData/>
  </xdr:twoCellAnchor>
  <xdr:twoCellAnchor>
    <xdr:from>
      <xdr:col>0</xdr:col>
      <xdr:colOff>260350</xdr:colOff>
      <xdr:row>8</xdr:row>
      <xdr:rowOff>82550</xdr:rowOff>
    </xdr:from>
    <xdr:to>
      <xdr:col>2</xdr:col>
      <xdr:colOff>558800</xdr:colOff>
      <xdr:row>11</xdr:row>
      <xdr:rowOff>63500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EEB5173B-45C9-4AE5-83DC-40948D400957}"/>
            </a:ext>
          </a:extLst>
        </xdr:cNvPr>
        <xdr:cNvSpPr/>
      </xdr:nvSpPr>
      <xdr:spPr>
        <a:xfrm>
          <a:off x="260350" y="1504950"/>
          <a:ext cx="1619250" cy="514350"/>
        </a:xfrm>
        <a:prstGeom prst="roundRect">
          <a:avLst/>
        </a:prstGeom>
        <a:solidFill>
          <a:schemeClr val="accent4">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endParaRPr lang="en-IN" sz="2400" b="1">
            <a:solidFill>
              <a:schemeClr val="bg1"/>
            </a:solidFill>
          </a:endParaRPr>
        </a:p>
      </xdr:txBody>
    </xdr:sp>
    <xdr:clientData/>
  </xdr:twoCellAnchor>
  <xdr:twoCellAnchor>
    <xdr:from>
      <xdr:col>0</xdr:col>
      <xdr:colOff>330200</xdr:colOff>
      <xdr:row>12</xdr:row>
      <xdr:rowOff>44450</xdr:rowOff>
    </xdr:from>
    <xdr:to>
      <xdr:col>2</xdr:col>
      <xdr:colOff>533400</xdr:colOff>
      <xdr:row>15</xdr:row>
      <xdr:rowOff>19050</xdr:rowOff>
    </xdr:to>
    <xdr:sp macro="" textlink="">
      <xdr:nvSpPr>
        <xdr:cNvPr id="14" name="Rectangle: Rounded Corners 13">
          <a:extLst>
            <a:ext uri="{FF2B5EF4-FFF2-40B4-BE49-F238E27FC236}">
              <a16:creationId xmlns:a16="http://schemas.microsoft.com/office/drawing/2014/main" id="{40F75FD9-957E-4631-BE04-1218BE375AEB}"/>
            </a:ext>
          </a:extLst>
        </xdr:cNvPr>
        <xdr:cNvSpPr/>
      </xdr:nvSpPr>
      <xdr:spPr>
        <a:xfrm>
          <a:off x="330200" y="2178050"/>
          <a:ext cx="1524000" cy="5080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SALESMENS</a:t>
          </a:r>
        </a:p>
      </xdr:txBody>
    </xdr:sp>
    <xdr:clientData/>
  </xdr:twoCellAnchor>
  <xdr:twoCellAnchor>
    <xdr:from>
      <xdr:col>0</xdr:col>
      <xdr:colOff>336550</xdr:colOff>
      <xdr:row>15</xdr:row>
      <xdr:rowOff>158750</xdr:rowOff>
    </xdr:from>
    <xdr:to>
      <xdr:col>2</xdr:col>
      <xdr:colOff>469900</xdr:colOff>
      <xdr:row>18</xdr:row>
      <xdr:rowOff>127000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39A1477F-3977-489F-8881-51AFF6C5DB03}"/>
            </a:ext>
          </a:extLst>
        </xdr:cNvPr>
        <xdr:cNvSpPr/>
      </xdr:nvSpPr>
      <xdr:spPr>
        <a:xfrm>
          <a:off x="336550" y="2825750"/>
          <a:ext cx="1454150" cy="501650"/>
        </a:xfrm>
        <a:prstGeom prst="round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ABOUT</a:t>
          </a:r>
          <a:endParaRPr lang="en-IN" sz="1050" b="1"/>
        </a:p>
      </xdr:txBody>
    </xdr:sp>
    <xdr:clientData/>
  </xdr:twoCellAnchor>
  <xdr:twoCellAnchor>
    <xdr:from>
      <xdr:col>3</xdr:col>
      <xdr:colOff>190500</xdr:colOff>
      <xdr:row>15</xdr:row>
      <xdr:rowOff>0</xdr:rowOff>
    </xdr:from>
    <xdr:to>
      <xdr:col>10</xdr:col>
      <xdr:colOff>241300</xdr:colOff>
      <xdr:row>27</xdr:row>
      <xdr:rowOff>57150</xdr:rowOff>
    </xdr:to>
    <xdr:graphicFrame macro="">
      <xdr:nvGraphicFramePr>
        <xdr:cNvPr id="22" name="Chart 21">
          <a:extLst>
            <a:ext uri="{FF2B5EF4-FFF2-40B4-BE49-F238E27FC236}">
              <a16:creationId xmlns:a16="http://schemas.microsoft.com/office/drawing/2014/main" id="{FA2149BC-1958-4AE3-8980-97E94C801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209550</xdr:colOff>
      <xdr:row>15</xdr:row>
      <xdr:rowOff>38100</xdr:rowOff>
    </xdr:from>
    <xdr:to>
      <xdr:col>6</xdr:col>
      <xdr:colOff>266700</xdr:colOff>
      <xdr:row>16</xdr:row>
      <xdr:rowOff>171450</xdr:rowOff>
    </xdr:to>
    <xdr:sp macro="" textlink="">
      <xdr:nvSpPr>
        <xdr:cNvPr id="21" name="Rectangle: Rounded Corners 20">
          <a:extLst>
            <a:ext uri="{FF2B5EF4-FFF2-40B4-BE49-F238E27FC236}">
              <a16:creationId xmlns:a16="http://schemas.microsoft.com/office/drawing/2014/main" id="{83100231-0C49-4070-9819-E1E4F0B3F06A}"/>
            </a:ext>
          </a:extLst>
        </xdr:cNvPr>
        <xdr:cNvSpPr/>
      </xdr:nvSpPr>
      <xdr:spPr>
        <a:xfrm>
          <a:off x="2190750" y="2705100"/>
          <a:ext cx="203835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SalesMan</a:t>
          </a:r>
          <a:r>
            <a:rPr lang="en-IN" sz="1200" b="1" baseline="0">
              <a:solidFill>
                <a:srgbClr val="0070C0"/>
              </a:solidFill>
            </a:rPr>
            <a:t> Performance</a:t>
          </a:r>
          <a:endParaRPr lang="en-IN" sz="1200" b="1">
            <a:solidFill>
              <a:srgbClr val="0070C0"/>
            </a:solidFill>
          </a:endParaRPr>
        </a:p>
      </xdr:txBody>
    </xdr:sp>
    <xdr:clientData/>
  </xdr:twoCellAnchor>
  <xdr:twoCellAnchor>
    <xdr:from>
      <xdr:col>10</xdr:col>
      <xdr:colOff>260350</xdr:colOff>
      <xdr:row>13</xdr:row>
      <xdr:rowOff>139700</xdr:rowOff>
    </xdr:from>
    <xdr:to>
      <xdr:col>17</xdr:col>
      <xdr:colOff>158750</xdr:colOff>
      <xdr:row>19</xdr:row>
      <xdr:rowOff>133350</xdr:rowOff>
    </xdr:to>
    <xdr:graphicFrame macro="">
      <xdr:nvGraphicFramePr>
        <xdr:cNvPr id="23" name="Chart 22">
          <a:extLst>
            <a:ext uri="{FF2B5EF4-FFF2-40B4-BE49-F238E27FC236}">
              <a16:creationId xmlns:a16="http://schemas.microsoft.com/office/drawing/2014/main" id="{CAAD524C-CA96-4CFD-9CD9-FC57D695B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279400</xdr:colOff>
      <xdr:row>12</xdr:row>
      <xdr:rowOff>19050</xdr:rowOff>
    </xdr:from>
    <xdr:to>
      <xdr:col>17</xdr:col>
      <xdr:colOff>101600</xdr:colOff>
      <xdr:row>13</xdr:row>
      <xdr:rowOff>171450</xdr:rowOff>
    </xdr:to>
    <xdr:sp macro="" textlink="">
      <xdr:nvSpPr>
        <xdr:cNvPr id="18" name="Rectangle: Rounded Corners 17">
          <a:extLst>
            <a:ext uri="{FF2B5EF4-FFF2-40B4-BE49-F238E27FC236}">
              <a16:creationId xmlns:a16="http://schemas.microsoft.com/office/drawing/2014/main" id="{66D35A40-B825-4387-AC65-156C0E65CCA6}"/>
            </a:ext>
          </a:extLst>
        </xdr:cNvPr>
        <xdr:cNvSpPr/>
      </xdr:nvSpPr>
      <xdr:spPr>
        <a:xfrm>
          <a:off x="6883400" y="2152650"/>
          <a:ext cx="4445000" cy="3302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TOP</a:t>
          </a:r>
          <a:r>
            <a:rPr lang="en-IN" sz="1200" b="1" baseline="0">
              <a:solidFill>
                <a:srgbClr val="0070C0"/>
              </a:solidFill>
            </a:rPr>
            <a:t> 3 SalesMans</a:t>
          </a:r>
          <a:endParaRPr lang="en-IN" sz="1200" b="1">
            <a:solidFill>
              <a:srgbClr val="0070C0"/>
            </a:solidFill>
          </a:endParaRPr>
        </a:p>
      </xdr:txBody>
    </xdr:sp>
    <xdr:clientData/>
  </xdr:twoCellAnchor>
  <xdr:twoCellAnchor>
    <xdr:from>
      <xdr:col>10</xdr:col>
      <xdr:colOff>273050</xdr:colOff>
      <xdr:row>20</xdr:row>
      <xdr:rowOff>114300</xdr:rowOff>
    </xdr:from>
    <xdr:to>
      <xdr:col>17</xdr:col>
      <xdr:colOff>177800</xdr:colOff>
      <xdr:row>27</xdr:row>
      <xdr:rowOff>63500</xdr:rowOff>
    </xdr:to>
    <xdr:graphicFrame macro="">
      <xdr:nvGraphicFramePr>
        <xdr:cNvPr id="24" name="Chart 23">
          <a:extLst>
            <a:ext uri="{FF2B5EF4-FFF2-40B4-BE49-F238E27FC236}">
              <a16:creationId xmlns:a16="http://schemas.microsoft.com/office/drawing/2014/main" id="{2E8A19CF-EB72-42B1-803F-C5D85927D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273050</xdr:colOff>
      <xdr:row>19</xdr:row>
      <xdr:rowOff>95250</xdr:rowOff>
    </xdr:from>
    <xdr:to>
      <xdr:col>17</xdr:col>
      <xdr:colOff>133350</xdr:colOff>
      <xdr:row>21</xdr:row>
      <xdr:rowOff>50800</xdr:rowOff>
    </xdr:to>
    <xdr:sp macro="" textlink="">
      <xdr:nvSpPr>
        <xdr:cNvPr id="19" name="Rectangle: Rounded Corners 18">
          <a:extLst>
            <a:ext uri="{FF2B5EF4-FFF2-40B4-BE49-F238E27FC236}">
              <a16:creationId xmlns:a16="http://schemas.microsoft.com/office/drawing/2014/main" id="{FB023943-D066-4A49-AE27-F8ABEBC3C654}"/>
            </a:ext>
          </a:extLst>
        </xdr:cNvPr>
        <xdr:cNvSpPr/>
      </xdr:nvSpPr>
      <xdr:spPr>
        <a:xfrm>
          <a:off x="6877050" y="3473450"/>
          <a:ext cx="4483100" cy="3111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BOTTOM</a:t>
          </a:r>
          <a:r>
            <a:rPr lang="en-IN" sz="1200" b="1" baseline="0">
              <a:solidFill>
                <a:srgbClr val="0070C0"/>
              </a:solidFill>
            </a:rPr>
            <a:t> 3 SalesMans</a:t>
          </a:r>
          <a:endParaRPr lang="en-IN" sz="1200" b="1">
            <a:solidFill>
              <a:srgbClr val="0070C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31750</xdr:rowOff>
    </xdr:from>
    <xdr:to>
      <xdr:col>17</xdr:col>
      <xdr:colOff>381000</xdr:colOff>
      <xdr:row>28</xdr:row>
      <xdr:rowOff>63500</xdr:rowOff>
    </xdr:to>
    <xdr:sp macro="" textlink="">
      <xdr:nvSpPr>
        <xdr:cNvPr id="2" name="Rectangle: Rounded Corners 1">
          <a:extLst>
            <a:ext uri="{FF2B5EF4-FFF2-40B4-BE49-F238E27FC236}">
              <a16:creationId xmlns:a16="http://schemas.microsoft.com/office/drawing/2014/main" id="{9D5EA528-9CF4-404A-B7D0-BD0188B0C16C}"/>
            </a:ext>
          </a:extLst>
        </xdr:cNvPr>
        <xdr:cNvSpPr/>
      </xdr:nvSpPr>
      <xdr:spPr>
        <a:xfrm>
          <a:off x="0" y="31750"/>
          <a:ext cx="11607800" cy="5010150"/>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133350</xdr:colOff>
      <xdr:row>0</xdr:row>
      <xdr:rowOff>107950</xdr:rowOff>
    </xdr:from>
    <xdr:to>
      <xdr:col>17</xdr:col>
      <xdr:colOff>254000</xdr:colOff>
      <xdr:row>27</xdr:row>
      <xdr:rowOff>165100</xdr:rowOff>
    </xdr:to>
    <xdr:sp macro="" textlink="">
      <xdr:nvSpPr>
        <xdr:cNvPr id="3" name="Rectangle: Rounded Corners 2">
          <a:extLst>
            <a:ext uri="{FF2B5EF4-FFF2-40B4-BE49-F238E27FC236}">
              <a16:creationId xmlns:a16="http://schemas.microsoft.com/office/drawing/2014/main" id="{19A9B683-F4E5-4494-AA0F-914D49810CE6}"/>
            </a:ext>
          </a:extLst>
        </xdr:cNvPr>
        <xdr:cNvSpPr/>
      </xdr:nvSpPr>
      <xdr:spPr>
        <a:xfrm>
          <a:off x="2114550" y="107950"/>
          <a:ext cx="9366250" cy="4857750"/>
        </a:xfrm>
        <a:prstGeom prst="roundRect">
          <a:avLst>
            <a:gd name="adj" fmla="val 3486"/>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165100</xdr:colOff>
      <xdr:row>0</xdr:row>
      <xdr:rowOff>171450</xdr:rowOff>
    </xdr:from>
    <xdr:to>
      <xdr:col>11</xdr:col>
      <xdr:colOff>406400</xdr:colOff>
      <xdr:row>8</xdr:row>
      <xdr:rowOff>76200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EC284128-F8AF-4085-BB44-91081043408C}"/>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146300" y="171450"/>
              <a:ext cx="5524500" cy="1327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438150</xdr:colOff>
      <xdr:row>0</xdr:row>
      <xdr:rowOff>171450</xdr:rowOff>
    </xdr:from>
    <xdr:to>
      <xdr:col>17</xdr:col>
      <xdr:colOff>196850</xdr:colOff>
      <xdr:row>8</xdr:row>
      <xdr:rowOff>82550</xdr:rowOff>
    </xdr:to>
    <mc:AlternateContent xmlns:mc="http://schemas.openxmlformats.org/markup-compatibility/2006" xmlns:a14="http://schemas.microsoft.com/office/drawing/2010/main">
      <mc:Choice Requires="a14">
        <xdr:graphicFrame macro="">
          <xdr:nvGraphicFramePr>
            <xdr:cNvPr id="5" name="Place 4">
              <a:extLst>
                <a:ext uri="{FF2B5EF4-FFF2-40B4-BE49-F238E27FC236}">
                  <a16:creationId xmlns:a16="http://schemas.microsoft.com/office/drawing/2014/main" id="{94C81E88-4BE5-4314-B8BA-C15D75558249}"/>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7702550" y="171450"/>
              <a:ext cx="37211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158750</xdr:colOff>
      <xdr:row>8</xdr:row>
      <xdr:rowOff>120650</xdr:rowOff>
    </xdr:from>
    <xdr:to>
      <xdr:col>17</xdr:col>
      <xdr:colOff>171450</xdr:colOff>
      <xdr:row>12</xdr:row>
      <xdr:rowOff>107950</xdr:rowOff>
    </xdr:to>
    <mc:AlternateContent xmlns:mc="http://schemas.openxmlformats.org/markup-compatibility/2006" xmlns:a14="http://schemas.microsoft.com/office/drawing/2010/main">
      <mc:Choice Requires="a14">
        <xdr:graphicFrame macro="">
          <xdr:nvGraphicFramePr>
            <xdr:cNvPr id="6" name="Products 4">
              <a:extLst>
                <a:ext uri="{FF2B5EF4-FFF2-40B4-BE49-F238E27FC236}">
                  <a16:creationId xmlns:a16="http://schemas.microsoft.com/office/drawing/2014/main" id="{426193E9-4271-4963-8A9C-71509C390A59}"/>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2139950" y="1543050"/>
              <a:ext cx="9258300"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xdr:colOff>
      <xdr:row>13</xdr:row>
      <xdr:rowOff>95250</xdr:rowOff>
    </xdr:from>
    <xdr:to>
      <xdr:col>6</xdr:col>
      <xdr:colOff>412750</xdr:colOff>
      <xdr:row>15</xdr:row>
      <xdr:rowOff>107950</xdr:rowOff>
    </xdr:to>
    <xdr:sp macro="" textlink="">
      <xdr:nvSpPr>
        <xdr:cNvPr id="8" name="Rectangle 7">
          <a:extLst>
            <a:ext uri="{FF2B5EF4-FFF2-40B4-BE49-F238E27FC236}">
              <a16:creationId xmlns:a16="http://schemas.microsoft.com/office/drawing/2014/main" id="{2658CEC8-9059-4C04-AAB0-FE5B4D212286}"/>
            </a:ext>
          </a:extLst>
        </xdr:cNvPr>
        <xdr:cNvSpPr/>
      </xdr:nvSpPr>
      <xdr:spPr>
        <a:xfrm>
          <a:off x="2673350" y="2406650"/>
          <a:ext cx="1701800" cy="36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n>
                <a:noFill/>
              </a:ln>
              <a:solidFill>
                <a:srgbClr val="0070C0"/>
              </a:solidFill>
            </a:rPr>
            <a:t>ABOUT</a:t>
          </a:r>
          <a:r>
            <a:rPr lang="en-US" sz="1800" b="1">
              <a:ln>
                <a:noFill/>
              </a:ln>
              <a:solidFill>
                <a:srgbClr val="002060"/>
              </a:solidFill>
            </a:rPr>
            <a:t> </a:t>
          </a:r>
          <a:endParaRPr lang="en-IN" sz="1800" b="1">
            <a:ln>
              <a:noFill/>
            </a:ln>
            <a:solidFill>
              <a:srgbClr val="002060"/>
            </a:solidFill>
          </a:endParaRPr>
        </a:p>
      </xdr:txBody>
    </xdr:sp>
    <xdr:clientData/>
  </xdr:twoCellAnchor>
  <xdr:twoCellAnchor>
    <xdr:from>
      <xdr:col>0</xdr:col>
      <xdr:colOff>273050</xdr:colOff>
      <xdr:row>4</xdr:row>
      <xdr:rowOff>114300</xdr:rowOff>
    </xdr:from>
    <xdr:to>
      <xdr:col>2</xdr:col>
      <xdr:colOff>590550</xdr:colOff>
      <xdr:row>7</xdr:row>
      <xdr:rowOff>88900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587DADFA-6297-469A-9C23-7C0162B8077C}"/>
            </a:ext>
          </a:extLst>
        </xdr:cNvPr>
        <xdr:cNvSpPr/>
      </xdr:nvSpPr>
      <xdr:spPr>
        <a:xfrm>
          <a:off x="273050" y="825500"/>
          <a:ext cx="1638300" cy="508000"/>
        </a:xfrm>
        <a:prstGeom prst="roundRect">
          <a:avLst/>
        </a:prstGeom>
        <a:solidFill>
          <a:schemeClr val="accent4">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DASHBOARD</a:t>
          </a:r>
        </a:p>
      </xdr:txBody>
    </xdr:sp>
    <xdr:clientData/>
  </xdr:twoCellAnchor>
  <xdr:twoCellAnchor>
    <xdr:from>
      <xdr:col>0</xdr:col>
      <xdr:colOff>260350</xdr:colOff>
      <xdr:row>8</xdr:row>
      <xdr:rowOff>82550</xdr:rowOff>
    </xdr:from>
    <xdr:to>
      <xdr:col>2</xdr:col>
      <xdr:colOff>558800</xdr:colOff>
      <xdr:row>11</xdr:row>
      <xdr:rowOff>63500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657C8DB5-0348-4657-BE4B-5BF16CA76287}"/>
            </a:ext>
          </a:extLst>
        </xdr:cNvPr>
        <xdr:cNvSpPr/>
      </xdr:nvSpPr>
      <xdr:spPr>
        <a:xfrm>
          <a:off x="260350" y="1504950"/>
          <a:ext cx="1619250" cy="514350"/>
        </a:xfrm>
        <a:prstGeom prst="roundRect">
          <a:avLst/>
        </a:prstGeom>
        <a:solidFill>
          <a:schemeClr val="accent4">
            <a:lumMod val="50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PRODUCTS</a:t>
          </a:r>
          <a:endParaRPr lang="en-IN" sz="2400" b="1">
            <a:solidFill>
              <a:schemeClr val="bg1"/>
            </a:solidFill>
          </a:endParaRPr>
        </a:p>
      </xdr:txBody>
    </xdr:sp>
    <xdr:clientData/>
  </xdr:twoCellAnchor>
  <xdr:twoCellAnchor>
    <xdr:from>
      <xdr:col>0</xdr:col>
      <xdr:colOff>330200</xdr:colOff>
      <xdr:row>12</xdr:row>
      <xdr:rowOff>44450</xdr:rowOff>
    </xdr:from>
    <xdr:to>
      <xdr:col>2</xdr:col>
      <xdr:colOff>501650</xdr:colOff>
      <xdr:row>14</xdr:row>
      <xdr:rowOff>165100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F4B2E78D-1005-4CFB-8D61-325C443B647E}"/>
            </a:ext>
          </a:extLst>
        </xdr:cNvPr>
        <xdr:cNvSpPr/>
      </xdr:nvSpPr>
      <xdr:spPr>
        <a:xfrm>
          <a:off x="330200" y="2178050"/>
          <a:ext cx="1492250" cy="476250"/>
        </a:xfrm>
        <a:prstGeom prst="roundRect">
          <a:avLst/>
        </a:prstGeom>
        <a:solidFill>
          <a:schemeClr val="accent4">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SALESMENS</a:t>
          </a:r>
        </a:p>
      </xdr:txBody>
    </xdr:sp>
    <xdr:clientData/>
  </xdr:twoCellAnchor>
  <xdr:twoCellAnchor>
    <xdr:from>
      <xdr:col>0</xdr:col>
      <xdr:colOff>349250</xdr:colOff>
      <xdr:row>16</xdr:row>
      <xdr:rowOff>12700</xdr:rowOff>
    </xdr:from>
    <xdr:to>
      <xdr:col>2</xdr:col>
      <xdr:colOff>552450</xdr:colOff>
      <xdr:row>18</xdr:row>
      <xdr:rowOff>158750</xdr:rowOff>
    </xdr:to>
    <xdr:sp macro="" textlink="">
      <xdr:nvSpPr>
        <xdr:cNvPr id="15" name="Rectangle: Rounded Corners 14">
          <a:extLst>
            <a:ext uri="{FF2B5EF4-FFF2-40B4-BE49-F238E27FC236}">
              <a16:creationId xmlns:a16="http://schemas.microsoft.com/office/drawing/2014/main" id="{B6189C86-04F6-4C33-8CB8-CE63F834749F}"/>
            </a:ext>
          </a:extLst>
        </xdr:cNvPr>
        <xdr:cNvSpPr/>
      </xdr:nvSpPr>
      <xdr:spPr>
        <a:xfrm>
          <a:off x="349250" y="2857500"/>
          <a:ext cx="1524000" cy="5016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ABOUT</a:t>
          </a:r>
          <a:endParaRPr lang="en-IN" sz="1050" b="1">
            <a:solidFill>
              <a:schemeClr val="tx1"/>
            </a:solidFill>
          </a:endParaRPr>
        </a:p>
      </xdr:txBody>
    </xdr:sp>
    <xdr:clientData/>
  </xdr:twoCellAnchor>
  <xdr:twoCellAnchor>
    <xdr:from>
      <xdr:col>3</xdr:col>
      <xdr:colOff>203200</xdr:colOff>
      <xdr:row>15</xdr:row>
      <xdr:rowOff>101600</xdr:rowOff>
    </xdr:from>
    <xdr:to>
      <xdr:col>17</xdr:col>
      <xdr:colOff>152400</xdr:colOff>
      <xdr:row>27</xdr:row>
      <xdr:rowOff>76200</xdr:rowOff>
    </xdr:to>
    <xdr:sp macro="" textlink="">
      <xdr:nvSpPr>
        <xdr:cNvPr id="22" name="Rectangle: Rounded Corners 21">
          <a:extLst>
            <a:ext uri="{FF2B5EF4-FFF2-40B4-BE49-F238E27FC236}">
              <a16:creationId xmlns:a16="http://schemas.microsoft.com/office/drawing/2014/main" id="{586B8CBF-654A-44FC-BF6A-BB9B06544584}"/>
            </a:ext>
          </a:extLst>
        </xdr:cNvPr>
        <xdr:cNvSpPr/>
      </xdr:nvSpPr>
      <xdr:spPr>
        <a:xfrm>
          <a:off x="2184400" y="2768600"/>
          <a:ext cx="9194800" cy="2108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800" b="1">
              <a:solidFill>
                <a:schemeClr val="bg1"/>
              </a:solidFill>
            </a:rPr>
            <a:t>About Me – Mahendra Varma</a:t>
          </a:r>
          <a:endParaRPr lang="en-IN" sz="1800">
            <a:solidFill>
              <a:schemeClr val="bg1"/>
            </a:solidFill>
          </a:endParaRPr>
        </a:p>
        <a:p>
          <a:r>
            <a:rPr lang="en-IN" sz="1800">
              <a:solidFill>
                <a:schemeClr val="bg1"/>
              </a:solidFill>
            </a:rPr>
            <a:t>🎓 B.Tech CSE (2023–2027)</a:t>
          </a:r>
          <a:br>
            <a:rPr lang="en-IN" sz="1800">
              <a:solidFill>
                <a:schemeClr val="bg1"/>
              </a:solidFill>
            </a:rPr>
          </a:br>
          <a:r>
            <a:rPr lang="en-IN" sz="1800">
              <a:solidFill>
                <a:schemeClr val="bg1"/>
              </a:solidFill>
            </a:rPr>
            <a:t>💻 Skills: Python, SQL, Excel</a:t>
          </a:r>
          <a:br>
            <a:rPr lang="en-IN" sz="1800">
              <a:solidFill>
                <a:schemeClr val="bg1"/>
              </a:solidFill>
            </a:rPr>
          </a:br>
          <a:r>
            <a:rPr lang="en-IN" sz="1800">
              <a:solidFill>
                <a:schemeClr val="bg1"/>
              </a:solidFill>
            </a:rPr>
            <a:t>📊 Interested in Data Analytics &amp; Data Engineering</a:t>
          </a:r>
          <a:br>
            <a:rPr lang="en-IN" sz="1800">
              <a:solidFill>
                <a:schemeClr val="bg1"/>
              </a:solidFill>
            </a:rPr>
          </a:br>
          <a:r>
            <a:rPr lang="en-IN" sz="1800">
              <a:solidFill>
                <a:schemeClr val="bg1"/>
              </a:solidFill>
            </a:rPr>
            <a:t>📍 Narsapur, Andhra Pradesh</a:t>
          </a:r>
        </a:p>
        <a:p>
          <a:r>
            <a:rPr lang="en-IN" sz="1800">
              <a:solidFill>
                <a:schemeClr val="bg1"/>
              </a:solidFill>
            </a:rPr>
            <a:t>contact-9553638615</a:t>
          </a:r>
        </a:p>
        <a:p>
          <a:pPr algn="l"/>
          <a:endParaRPr lang="en-IN" sz="1100"/>
        </a:p>
      </xdr:txBody>
    </xdr:sp>
    <xdr:clientData/>
  </xdr:twoCellAnchor>
  <xdr:twoCellAnchor editAs="oneCell">
    <xdr:from>
      <xdr:col>3</xdr:col>
      <xdr:colOff>330200</xdr:colOff>
      <xdr:row>12</xdr:row>
      <xdr:rowOff>139700</xdr:rowOff>
    </xdr:from>
    <xdr:to>
      <xdr:col>4</xdr:col>
      <xdr:colOff>177800</xdr:colOff>
      <xdr:row>15</xdr:row>
      <xdr:rowOff>114300</xdr:rowOff>
    </xdr:to>
    <xdr:pic>
      <xdr:nvPicPr>
        <xdr:cNvPr id="29" name="Graphic 28" descr="Male profile">
          <a:extLst>
            <a:ext uri="{FF2B5EF4-FFF2-40B4-BE49-F238E27FC236}">
              <a16:creationId xmlns:a16="http://schemas.microsoft.com/office/drawing/2014/main" id="{A9CAC203-A765-40B1-8A2A-88DD88A99FC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311400" y="2273300"/>
          <a:ext cx="508000" cy="50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298450</xdr:colOff>
      <xdr:row>0</xdr:row>
      <xdr:rowOff>0</xdr:rowOff>
    </xdr:from>
    <xdr:to>
      <xdr:col>9</xdr:col>
      <xdr:colOff>247650</xdr:colOff>
      <xdr:row>13</xdr:row>
      <xdr:rowOff>63500</xdr:rowOff>
    </xdr:to>
    <xdr:graphicFrame macro="">
      <xdr:nvGraphicFramePr>
        <xdr:cNvPr id="5" name="Chart 4">
          <a:extLst>
            <a:ext uri="{FF2B5EF4-FFF2-40B4-BE49-F238E27FC236}">
              <a16:creationId xmlns:a16="http://schemas.microsoft.com/office/drawing/2014/main" id="{4D5D01DA-750E-4D7D-91FB-EE9C11199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15</xdr:row>
      <xdr:rowOff>171450</xdr:rowOff>
    </xdr:from>
    <xdr:to>
      <xdr:col>9</xdr:col>
      <xdr:colOff>463550</xdr:colOff>
      <xdr:row>25</xdr:row>
      <xdr:rowOff>127000</xdr:rowOff>
    </xdr:to>
    <xdr:graphicFrame macro="">
      <xdr:nvGraphicFramePr>
        <xdr:cNvPr id="6" name="Chart 5">
          <a:extLst>
            <a:ext uri="{FF2B5EF4-FFF2-40B4-BE49-F238E27FC236}">
              <a16:creationId xmlns:a16="http://schemas.microsoft.com/office/drawing/2014/main" id="{FA8E6F79-B351-460C-9914-1EB8CEF8C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495300</xdr:colOff>
      <xdr:row>31</xdr:row>
      <xdr:rowOff>31750</xdr:rowOff>
    </xdr:from>
    <xdr:to>
      <xdr:col>9</xdr:col>
      <xdr:colOff>444500</xdr:colOff>
      <xdr:row>42</xdr:row>
      <xdr:rowOff>38100</xdr:rowOff>
    </xdr:to>
    <xdr:graphicFrame macro="">
      <xdr:nvGraphicFramePr>
        <xdr:cNvPr id="8" name="Chart 7">
          <a:extLst>
            <a:ext uri="{FF2B5EF4-FFF2-40B4-BE49-F238E27FC236}">
              <a16:creationId xmlns:a16="http://schemas.microsoft.com/office/drawing/2014/main" id="{1AAD6162-B582-4069-83F0-6E7F69274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31750</xdr:colOff>
      <xdr:row>63</xdr:row>
      <xdr:rowOff>171450</xdr:rowOff>
    </xdr:from>
    <xdr:to>
      <xdr:col>9</xdr:col>
      <xdr:colOff>558800</xdr:colOff>
      <xdr:row>72</xdr:row>
      <xdr:rowOff>82550</xdr:rowOff>
    </xdr:to>
    <xdr:graphicFrame macro="">
      <xdr:nvGraphicFramePr>
        <xdr:cNvPr id="9" name="Chart 8">
          <a:extLst>
            <a:ext uri="{FF2B5EF4-FFF2-40B4-BE49-F238E27FC236}">
              <a16:creationId xmlns:a16="http://schemas.microsoft.com/office/drawing/2014/main" id="{1DAE945A-E797-4920-8BB6-9A3691A96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31750</xdr:colOff>
      <xdr:row>73</xdr:row>
      <xdr:rowOff>101600</xdr:rowOff>
    </xdr:from>
    <xdr:to>
      <xdr:col>9</xdr:col>
      <xdr:colOff>558800</xdr:colOff>
      <xdr:row>82</xdr:row>
      <xdr:rowOff>69850</xdr:rowOff>
    </xdr:to>
    <xdr:graphicFrame macro="">
      <xdr:nvGraphicFramePr>
        <xdr:cNvPr id="10" name="Chart 9">
          <a:extLst>
            <a:ext uri="{FF2B5EF4-FFF2-40B4-BE49-F238E27FC236}">
              <a16:creationId xmlns:a16="http://schemas.microsoft.com/office/drawing/2014/main" id="{B75255A9-5416-4710-BC17-0BDD57B06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31750</xdr:colOff>
      <xdr:row>85</xdr:row>
      <xdr:rowOff>107950</xdr:rowOff>
    </xdr:from>
    <xdr:to>
      <xdr:col>9</xdr:col>
      <xdr:colOff>381000</xdr:colOff>
      <xdr:row>97</xdr:row>
      <xdr:rowOff>69850</xdr:rowOff>
    </xdr:to>
    <xdr:graphicFrame macro="">
      <xdr:nvGraphicFramePr>
        <xdr:cNvPr id="2" name="Chart 1">
          <a:extLst>
            <a:ext uri="{FF2B5EF4-FFF2-40B4-BE49-F238E27FC236}">
              <a16:creationId xmlns:a16="http://schemas.microsoft.com/office/drawing/2014/main" id="{803A436A-0DD1-4705-A250-305BBD83D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31750</xdr:colOff>
      <xdr:row>101</xdr:row>
      <xdr:rowOff>50800</xdr:rowOff>
    </xdr:from>
    <xdr:to>
      <xdr:col>9</xdr:col>
      <xdr:colOff>558800</xdr:colOff>
      <xdr:row>113</xdr:row>
      <xdr:rowOff>44450</xdr:rowOff>
    </xdr:to>
    <xdr:graphicFrame macro="">
      <xdr:nvGraphicFramePr>
        <xdr:cNvPr id="3" name="Chart 2">
          <a:extLst>
            <a:ext uri="{FF2B5EF4-FFF2-40B4-BE49-F238E27FC236}">
              <a16:creationId xmlns:a16="http://schemas.microsoft.com/office/drawing/2014/main" id="{4A1199A2-4112-4BB7-B204-47B9685E2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31750</xdr:colOff>
      <xdr:row>117</xdr:row>
      <xdr:rowOff>19050</xdr:rowOff>
    </xdr:from>
    <xdr:to>
      <xdr:col>9</xdr:col>
      <xdr:colOff>234950</xdr:colOff>
      <xdr:row>126</xdr:row>
      <xdr:rowOff>114300</xdr:rowOff>
    </xdr:to>
    <xdr:graphicFrame macro="">
      <xdr:nvGraphicFramePr>
        <xdr:cNvPr id="4" name="Chart 3">
          <a:extLst>
            <a:ext uri="{FF2B5EF4-FFF2-40B4-BE49-F238E27FC236}">
              <a16:creationId xmlns:a16="http://schemas.microsoft.com/office/drawing/2014/main" id="{2F54EA28-97F8-4B57-842D-64B92A6F9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31750</xdr:colOff>
      <xdr:row>130</xdr:row>
      <xdr:rowOff>95250</xdr:rowOff>
    </xdr:from>
    <xdr:to>
      <xdr:col>9</xdr:col>
      <xdr:colOff>558800</xdr:colOff>
      <xdr:row>139</xdr:row>
      <xdr:rowOff>69850</xdr:rowOff>
    </xdr:to>
    <xdr:graphicFrame macro="">
      <xdr:nvGraphicFramePr>
        <xdr:cNvPr id="7" name="Chart 6">
          <a:extLst>
            <a:ext uri="{FF2B5EF4-FFF2-40B4-BE49-F238E27FC236}">
              <a16:creationId xmlns:a16="http://schemas.microsoft.com/office/drawing/2014/main" id="{C8996BB2-6577-4CA9-A272-BB8D2DD40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5.727788310185" createdVersion="6" refreshedVersion="6" minRefreshableVersion="3" recordCount="278" xr:uid="{4334CF3C-B5BB-4D4B-93FE-6E9905743927}">
  <cacheSource type="worksheet">
    <worksheetSource ref="A1:G279" sheet="Sheet1"/>
  </cacheSource>
  <cacheFields count="9">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8" base="0">
        <rangePr groupBy="months" startDate="2020-01-01T00:00:00" endDate="2022-12-31T00:00:00"/>
        <groupItems count="14">
          <s v="&lt;01-01-2020"/>
          <s v="Jan"/>
          <s v="Feb"/>
          <s v="Mar"/>
          <s v="Apr"/>
          <s v="May"/>
          <s v="Jun"/>
          <s v="Jul"/>
          <s v="Aug"/>
          <s v="Sep"/>
          <s v="Oct"/>
          <s v="Nov"/>
          <s v="Dec"/>
          <s v="&gt;31-12-2022"/>
        </groupItems>
      </fieldGroup>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Quarters" numFmtId="0" databaseField="0">
      <fieldGroup base="0">
        <rangePr groupBy="quarters" startDate="2020-01-01T00:00:00" endDate="2022-12-31T00:00:00"/>
        <groupItems count="6">
          <s v="&lt;01-01-2020"/>
          <s v="Qtr1"/>
          <s v="Qtr2"/>
          <s v="Qtr3"/>
          <s v="Qtr4"/>
          <s v="&gt;31-12-2022"/>
        </groupItems>
      </fieldGroup>
    </cacheField>
    <cacheField name="Years"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514820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00CE17-1A1F-4C76-8CB2-597568CAA88B}"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7">
  <location ref="A90:B97"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7">
        <item x="2"/>
        <item h="1" x="4"/>
        <item h="1" x="0"/>
        <item h="1" x="5"/>
        <item h="1" x="3"/>
        <item h="1"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3657C9-432A-406E-BE43-105223AE49CA}"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8">
  <location ref="A56:A57" firstHeaderRow="1" firstDataRow="1" firstDataCol="0"/>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7">
        <item x="2"/>
        <item h="1" x="4"/>
        <item h="1" x="0"/>
        <item h="1" x="5"/>
        <item h="1" x="3"/>
        <item h="1"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8F192F-F5E9-45A9-997A-ECD2BBB8F528}"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2">
  <location ref="A104:B111"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h="1" x="4"/>
        <item h="1" x="0"/>
        <item h="1" x="5"/>
        <item h="1" x="3"/>
        <item h="1"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7">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83ACC-5EDC-4E1E-9463-4BA8D2B0D01E}"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9">
  <location ref="A134:B138"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h="1" x="4"/>
        <item h="1" x="0"/>
        <item h="1" x="5"/>
        <item h="1" x="3"/>
        <item h="1"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1"/>
    </i>
    <i>
      <x v="5"/>
    </i>
    <i>
      <x v="3"/>
    </i>
    <i t="grand">
      <x/>
    </i>
  </rowItems>
  <colItems count="1">
    <i/>
  </colItems>
  <dataFields count="1">
    <dataField name="Sum of Units" fld="5" baseField="0" baseItem="0"/>
  </dataFields>
  <chartFormats count="9">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097D6-8A4B-4114-9F1A-EFAFEC22C2FB}"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8">
  <location ref="A62:A63" firstHeaderRow="1" firstDataRow="1" firstDataCol="0"/>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7">
        <item x="2"/>
        <item h="1" x="4"/>
        <item h="1" x="0"/>
        <item h="1" x="5"/>
        <item h="1" x="3"/>
        <item h="1"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B174C-F120-492C-B3AE-6D8F261248D2}"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0">
  <location ref="A1:B14"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7">
        <item x="2"/>
        <item h="1" x="4"/>
        <item h="1" x="0"/>
        <item h="1" x="5"/>
        <item h="1" x="3"/>
        <item h="1"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D5C55E-A7F2-4A03-B8F2-95038EC89C02}"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9">
  <location ref="A77:B81"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h="1" x="4"/>
        <item h="1" x="0"/>
        <item h="1" x="5"/>
        <item h="1" x="3"/>
        <item h="1"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i>
    <i>
      <x v="5"/>
    </i>
    <i>
      <x v="1"/>
    </i>
    <i t="grand">
      <x/>
    </i>
  </rowItems>
  <colItems count="1">
    <i/>
  </colItems>
  <dataFields count="1">
    <dataField name="Sum of Units" fld="5" baseField="0" baseItem="0"/>
  </dataFields>
  <chartFormats count="3">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458A2F-C95C-418D-B502-522D1427DA59}" name="PivotTable1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0">
  <location ref="A121:B125"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h="1" x="4"/>
        <item h="1" x="0"/>
        <item h="1" x="5"/>
        <item h="1" x="3"/>
        <item h="1"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i>
    <i>
      <x v="4"/>
    </i>
    <i t="grand">
      <x/>
    </i>
  </rowItems>
  <colItems count="1">
    <i/>
  </colItems>
  <dataFields count="1">
    <dataField name="Sum of Units" fld="5" baseField="0" baseItem="0"/>
  </dataFields>
  <chartFormats count="9">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9C93B0-7683-45F0-9974-896C151A3CC1}"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A21:B23"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axis="axisRow" showAll="0">
      <items count="7">
        <item x="2"/>
        <item h="1" x="4"/>
        <item h="1" x="0"/>
        <item h="1" x="5"/>
        <item h="1" x="3"/>
        <item h="1"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2">
    <i>
      <x/>
    </i>
    <i t="grand">
      <x/>
    </i>
  </rowItems>
  <colItems count="1">
    <i/>
  </colItems>
  <dataFields count="1">
    <dataField name="Sum of Amount" fld="6" baseField="0" baseItem="0"/>
  </dataFields>
  <formats count="1">
    <format dxfId="7">
      <pivotArea collapsedLevelsAreSubtotals="1" fieldPosition="0">
        <references count="1">
          <reference field="3" count="0"/>
        </references>
      </pivotArea>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A165C6-3917-407E-933D-134C2D685288}"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0">
  <location ref="A35:B42"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7">
        <item x="2"/>
        <item h="1" x="4"/>
        <item h="1" x="0"/>
        <item h="1" x="5"/>
        <item h="1" x="3"/>
        <item h="1"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baseField="0" baseItem="0"/>
  </dataFields>
  <chartFormats count="4">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A6DEB8-92C6-48E0-B085-E0D36469B0A4}"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0">
  <location ref="A69:B73"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7">
        <item x="5"/>
        <item x="3"/>
        <item x="1"/>
        <item x="4"/>
        <item x="0"/>
        <item x="2"/>
        <item t="default"/>
      </items>
      <autoSortScope>
        <pivotArea dataOnly="0" outline="0" fieldPosition="0">
          <references count="1">
            <reference field="4294967294" count="1" selected="0">
              <x v="0"/>
            </reference>
          </references>
        </pivotArea>
      </autoSortScope>
    </pivotField>
    <pivotField showAll="0">
      <items count="7">
        <item x="2"/>
        <item h="1" x="4"/>
        <item h="1" x="0"/>
        <item h="1" x="5"/>
        <item h="1" x="3"/>
        <item h="1"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4"/>
    </i>
    <i t="grand">
      <x/>
    </i>
  </rowItems>
  <colItems count="1">
    <i/>
  </colItems>
  <dataFields count="1">
    <dataField name="Sum of Units" fld="5" baseField="0" baseItem="0"/>
  </dataFields>
  <chartFormats count="4">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2" count="1" selected="0">
            <x v="3"/>
          </reference>
        </references>
      </pivotArea>
    </chartFormat>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6E35FC3-3ACD-4642-A310-B42F8DC6FCE3}" sourceName="Products">
  <pivotTables>
    <pivotTable tabId="3" name="PivotTable1"/>
    <pivotTable tabId="3" name="PivotTable2"/>
    <pivotTable tabId="3" name="PivotTable3"/>
    <pivotTable tabId="3" name="PivotTable5"/>
    <pivotTable tabId="3" name="PivotTable6"/>
    <pivotTable tabId="3" name="PivotTable4"/>
    <pivotTable tabId="3" name="PivotTable9"/>
    <pivotTable tabId="3" name="PivotTable10"/>
    <pivotTable tabId="3" name="PivotTable11"/>
  </pivotTables>
  <data>
    <tabular pivotCacheId="514820464">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B37AB1E2-14CD-4B91-9A5D-CF1CE75DBD6B}" sourceName="Plac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4"/>
    <pivotTable tabId="3" name="PivotTable9"/>
    <pivotTable tabId="3" name="PivotTable10"/>
    <pivotTable tabId="3" name="PivotTable11"/>
  </pivotTables>
  <data>
    <tabular pivotCacheId="514820464">
      <items count="6">
        <i x="2" s="1"/>
        <i x="4"/>
        <i x="0"/>
        <i x="5"/>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FFAE4986-1DCB-480D-9163-42C4EBAC2F54}" cache="Slicer_Products" caption="Products" columnCount="6" rowHeight="230716"/>
  <slicer name="Place 1" xr10:uid="{5CCE021A-2058-4143-8605-43A0A8C0CE08}" cache="Slicer_Place" caption="Place"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3A03AF57-81F9-4C30-B85B-F1E41D152C08}" cache="Slicer_Products" caption="Products" columnCount="6" rowHeight="230716"/>
  <slicer name="Place 2" xr10:uid="{8975F918-73BB-4F1A-81CD-73651C07C2C6}" cache="Slicer_Place" caption="Place" columnCount="2"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942951A5-6956-4F10-A406-334B83F2E78C}" cache="Slicer_Products" caption="Products" columnCount="6" rowHeight="230716"/>
  <slicer name="Place 3" xr10:uid="{57DA4EC9-CDEB-4C8A-B9B9-089ACD44E016}" cache="Slicer_Place" caption="Place" columnCount="2"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4" xr10:uid="{0B621364-4FF9-4CE5-9B60-359810A5B448}" cache="Slicer_Products" caption="Products" columnCount="6" rowHeight="230716"/>
  <slicer name="Place 4" xr10:uid="{368E3A0F-2CC1-4F26-942D-0B627D14A001}" cache="Slicer_Place" caption="Place" columnCount="2"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BFFDC0E-7B3F-4C91-A628-E84FF76E2F67}"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4"/>
    <pivotTable tabId="3" name="PivotTable9"/>
    <pivotTable tabId="3" name="PivotTable10"/>
    <pivotTable tabId="3" name="PivotTable11"/>
  </pivotTables>
  <state minimalRefreshVersion="6" lastRefreshVersion="6" pivotCacheId="514820464"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5B7014D-6F44-44EA-A1F5-5FC76EE3E6A7}" cache="NativeTimeline_Date" caption="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BA0B16B-ADD4-4515-A5C0-EDB8110ADE5C}" cache="NativeTimeline_Date" caption="Date"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DA5CB86C-2537-4BDE-B53D-12413E3FD709}" cache="NativeTimeline_Date" caption="Date"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5BF792D0-F41B-4BE7-956D-434A2509462C}" cache="NativeTimeline_Date" caption="Date" level="2" selectionLevel="2" scrollPosition="2020-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topLeftCell="A259" workbookViewId="0">
      <selection activeCell="B12" sqref="A1:G279"/>
    </sheetView>
  </sheetViews>
  <sheetFormatPr defaultRowHeight="14"/>
  <cols>
    <col min="1" max="1" width="11.25" bestFit="1" customWidth="1"/>
    <col min="2" max="2" width="16.08203125" bestFit="1" customWidth="1"/>
    <col min="3" max="3" width="11.4140625" bestFit="1" customWidth="1"/>
    <col min="4" max="4" width="11.58203125" bestFit="1" customWidth="1"/>
    <col min="5" max="6" width="6.58203125" bestFit="1" customWidth="1"/>
    <col min="7" max="7" width="9.9140625" bestFit="1" customWidth="1"/>
  </cols>
  <sheetData>
    <row r="1" spans="1:7" ht="18">
      <c r="A1" s="1" t="s">
        <v>0</v>
      </c>
      <c r="B1" s="2" t="s">
        <v>1</v>
      </c>
      <c r="C1" s="2" t="s">
        <v>2</v>
      </c>
      <c r="D1" s="2" t="s">
        <v>3</v>
      </c>
      <c r="E1" s="2" t="s">
        <v>4</v>
      </c>
      <c r="F1" s="2" t="s">
        <v>5</v>
      </c>
      <c r="G1" s="2" t="s">
        <v>6</v>
      </c>
    </row>
    <row r="2" spans="1:7" ht="15.5">
      <c r="A2" s="3">
        <v>43831</v>
      </c>
      <c r="B2" s="4" t="s">
        <v>7</v>
      </c>
      <c r="C2" s="4" t="s">
        <v>8</v>
      </c>
      <c r="D2" s="4" t="s">
        <v>9</v>
      </c>
      <c r="E2" s="4">
        <v>499</v>
      </c>
      <c r="F2" s="4">
        <v>50</v>
      </c>
      <c r="G2" s="5">
        <f>E2*F2</f>
        <v>24950</v>
      </c>
    </row>
    <row r="3" spans="1:7" ht="15.5">
      <c r="A3" s="6">
        <v>43835</v>
      </c>
      <c r="B3" s="7" t="s">
        <v>10</v>
      </c>
      <c r="C3" s="7" t="s">
        <v>8</v>
      </c>
      <c r="D3" s="7" t="s">
        <v>11</v>
      </c>
      <c r="E3" s="7">
        <v>5599</v>
      </c>
      <c r="F3" s="7">
        <v>33</v>
      </c>
      <c r="G3" s="8">
        <f t="shared" ref="G3:G66" si="0">E3*F3</f>
        <v>184767</v>
      </c>
    </row>
    <row r="4" spans="1:7" ht="15.5">
      <c r="A4" s="3">
        <v>43839</v>
      </c>
      <c r="B4" s="4" t="s">
        <v>12</v>
      </c>
      <c r="C4" s="4" t="s">
        <v>13</v>
      </c>
      <c r="D4" s="4" t="s">
        <v>14</v>
      </c>
      <c r="E4" s="4">
        <v>1450</v>
      </c>
      <c r="F4" s="4">
        <v>44</v>
      </c>
      <c r="G4" s="5">
        <f t="shared" si="0"/>
        <v>63800</v>
      </c>
    </row>
    <row r="5" spans="1:7" ht="15.5">
      <c r="A5" s="6">
        <v>43843</v>
      </c>
      <c r="B5" s="7" t="s">
        <v>15</v>
      </c>
      <c r="C5" s="7" t="s">
        <v>16</v>
      </c>
      <c r="D5" s="7" t="s">
        <v>9</v>
      </c>
      <c r="E5" s="7">
        <v>85000</v>
      </c>
      <c r="F5" s="7">
        <v>50</v>
      </c>
      <c r="G5" s="8">
        <f t="shared" si="0"/>
        <v>4250000</v>
      </c>
    </row>
    <row r="6" spans="1:7" ht="15.5">
      <c r="A6" s="3">
        <v>43847</v>
      </c>
      <c r="B6" s="4" t="s">
        <v>15</v>
      </c>
      <c r="C6" s="4" t="s">
        <v>17</v>
      </c>
      <c r="D6" s="4" t="s">
        <v>18</v>
      </c>
      <c r="E6" s="4">
        <v>15000</v>
      </c>
      <c r="F6" s="4">
        <v>11</v>
      </c>
      <c r="G6" s="5">
        <f t="shared" si="0"/>
        <v>165000</v>
      </c>
    </row>
    <row r="7" spans="1:7" ht="15.5">
      <c r="A7" s="6">
        <v>43851</v>
      </c>
      <c r="B7" s="7" t="s">
        <v>10</v>
      </c>
      <c r="C7" s="7" t="s">
        <v>8</v>
      </c>
      <c r="D7" s="7" t="s">
        <v>18</v>
      </c>
      <c r="E7" s="7">
        <v>2550</v>
      </c>
      <c r="F7" s="7">
        <v>48</v>
      </c>
      <c r="G7" s="8">
        <f t="shared" si="0"/>
        <v>122400</v>
      </c>
    </row>
    <row r="8" spans="1:7" ht="15.5">
      <c r="A8" s="3">
        <v>43855</v>
      </c>
      <c r="B8" s="4" t="s">
        <v>19</v>
      </c>
      <c r="C8" s="4" t="s">
        <v>20</v>
      </c>
      <c r="D8" s="4" t="s">
        <v>14</v>
      </c>
      <c r="E8" s="4">
        <v>33000</v>
      </c>
      <c r="F8" s="4">
        <v>26</v>
      </c>
      <c r="G8" s="5">
        <f t="shared" si="0"/>
        <v>858000</v>
      </c>
    </row>
    <row r="9" spans="1:7" ht="15.5">
      <c r="A9" s="6">
        <v>43859</v>
      </c>
      <c r="B9" s="7" t="s">
        <v>7</v>
      </c>
      <c r="C9" s="7" t="s">
        <v>16</v>
      </c>
      <c r="D9" s="7" t="s">
        <v>21</v>
      </c>
      <c r="E9" s="7">
        <v>86000</v>
      </c>
      <c r="F9" s="7">
        <v>39</v>
      </c>
      <c r="G9" s="8">
        <f t="shared" si="0"/>
        <v>3354000</v>
      </c>
    </row>
    <row r="10" spans="1:7" ht="15.5">
      <c r="A10" s="3">
        <v>43863</v>
      </c>
      <c r="B10" s="4" t="s">
        <v>12</v>
      </c>
      <c r="C10" s="4" t="s">
        <v>22</v>
      </c>
      <c r="D10" s="4" t="s">
        <v>18</v>
      </c>
      <c r="E10" s="4">
        <v>990</v>
      </c>
      <c r="F10" s="4">
        <v>9</v>
      </c>
      <c r="G10" s="5">
        <f t="shared" si="0"/>
        <v>8910</v>
      </c>
    </row>
    <row r="11" spans="1:7" ht="15.5">
      <c r="A11" s="6">
        <v>43867</v>
      </c>
      <c r="B11" s="7" t="s">
        <v>7</v>
      </c>
      <c r="C11" s="7" t="s">
        <v>8</v>
      </c>
      <c r="D11" s="7" t="s">
        <v>9</v>
      </c>
      <c r="E11" s="7">
        <v>5599</v>
      </c>
      <c r="F11" s="7">
        <v>41</v>
      </c>
      <c r="G11" s="8">
        <f t="shared" si="0"/>
        <v>229559</v>
      </c>
    </row>
    <row r="12" spans="1:7" ht="15.5">
      <c r="A12" s="3">
        <v>43871</v>
      </c>
      <c r="B12" s="4" t="s">
        <v>19</v>
      </c>
      <c r="C12" s="4" t="s">
        <v>20</v>
      </c>
      <c r="D12" s="4" t="s">
        <v>14</v>
      </c>
      <c r="E12" s="4">
        <v>499</v>
      </c>
      <c r="F12" s="4">
        <v>39</v>
      </c>
      <c r="G12" s="5">
        <f t="shared" si="0"/>
        <v>19461</v>
      </c>
    </row>
    <row r="13" spans="1:7" ht="15.5">
      <c r="A13" s="6">
        <v>43875</v>
      </c>
      <c r="B13" s="7" t="s">
        <v>10</v>
      </c>
      <c r="C13" s="7" t="s">
        <v>22</v>
      </c>
      <c r="D13" s="7" t="s">
        <v>9</v>
      </c>
      <c r="E13" s="7">
        <v>1999</v>
      </c>
      <c r="F13" s="7">
        <v>4</v>
      </c>
      <c r="G13" s="8">
        <f t="shared" si="0"/>
        <v>7996</v>
      </c>
    </row>
    <row r="14" spans="1:7" ht="15.5">
      <c r="A14" s="3">
        <v>43879</v>
      </c>
      <c r="B14" s="4" t="s">
        <v>15</v>
      </c>
      <c r="C14" s="4" t="s">
        <v>16</v>
      </c>
      <c r="D14" s="4" t="s">
        <v>9</v>
      </c>
      <c r="E14" s="4">
        <v>63400</v>
      </c>
      <c r="F14" s="4">
        <v>8</v>
      </c>
      <c r="G14" s="5">
        <f t="shared" si="0"/>
        <v>507200</v>
      </c>
    </row>
    <row r="15" spans="1:7" ht="15.5">
      <c r="A15" s="6">
        <v>43883</v>
      </c>
      <c r="B15" s="7" t="s">
        <v>23</v>
      </c>
      <c r="C15" s="7" t="s">
        <v>22</v>
      </c>
      <c r="D15" s="7" t="s">
        <v>18</v>
      </c>
      <c r="E15" s="7">
        <v>1499</v>
      </c>
      <c r="F15" s="7">
        <v>27</v>
      </c>
      <c r="G15" s="8">
        <f t="shared" si="0"/>
        <v>40473</v>
      </c>
    </row>
    <row r="16" spans="1:7" ht="15.5">
      <c r="A16" s="3">
        <v>43887</v>
      </c>
      <c r="B16" s="4" t="s">
        <v>15</v>
      </c>
      <c r="C16" s="4" t="s">
        <v>17</v>
      </c>
      <c r="D16" s="4" t="s">
        <v>14</v>
      </c>
      <c r="E16" s="4">
        <v>120</v>
      </c>
      <c r="F16" s="4">
        <v>10</v>
      </c>
      <c r="G16" s="5">
        <f t="shared" si="0"/>
        <v>1200</v>
      </c>
    </row>
    <row r="17" spans="1:7" ht="15.5">
      <c r="A17" s="6">
        <v>43891</v>
      </c>
      <c r="B17" s="7" t="s">
        <v>10</v>
      </c>
      <c r="C17" s="7" t="s">
        <v>20</v>
      </c>
      <c r="D17" s="7" t="s">
        <v>21</v>
      </c>
      <c r="E17" s="7">
        <v>11999</v>
      </c>
      <c r="F17" s="7">
        <v>17</v>
      </c>
      <c r="G17" s="8">
        <f t="shared" si="0"/>
        <v>203983</v>
      </c>
    </row>
    <row r="18" spans="1:7" ht="15.5">
      <c r="A18" s="3">
        <v>43895</v>
      </c>
      <c r="B18" s="4" t="s">
        <v>12</v>
      </c>
      <c r="C18" s="4" t="s">
        <v>16</v>
      </c>
      <c r="D18" s="4" t="s">
        <v>11</v>
      </c>
      <c r="E18" s="4">
        <v>47500</v>
      </c>
      <c r="F18" s="4">
        <v>27</v>
      </c>
      <c r="G18" s="5">
        <f t="shared" si="0"/>
        <v>1282500</v>
      </c>
    </row>
    <row r="19" spans="1:7" ht="15.5">
      <c r="A19" s="6">
        <v>43899</v>
      </c>
      <c r="B19" s="7" t="s">
        <v>19</v>
      </c>
      <c r="C19" s="7" t="s">
        <v>20</v>
      </c>
      <c r="D19" s="7" t="s">
        <v>11</v>
      </c>
      <c r="E19" s="7">
        <v>2999</v>
      </c>
      <c r="F19" s="7">
        <v>43</v>
      </c>
      <c r="G19" s="8">
        <f t="shared" si="0"/>
        <v>128957</v>
      </c>
    </row>
    <row r="20" spans="1:7" ht="15.5">
      <c r="A20" s="3">
        <v>43903</v>
      </c>
      <c r="B20" s="4" t="s">
        <v>15</v>
      </c>
      <c r="C20" s="4" t="s">
        <v>17</v>
      </c>
      <c r="D20" s="4" t="s">
        <v>11</v>
      </c>
      <c r="E20" s="4">
        <v>8900</v>
      </c>
      <c r="F20" s="4">
        <v>9</v>
      </c>
      <c r="G20" s="5">
        <f t="shared" si="0"/>
        <v>80100</v>
      </c>
    </row>
    <row r="21" spans="1:7" ht="15.5">
      <c r="A21" s="6">
        <v>43907</v>
      </c>
      <c r="B21" s="7" t="s">
        <v>10</v>
      </c>
      <c r="C21" s="7" t="s">
        <v>20</v>
      </c>
      <c r="D21" s="7" t="s">
        <v>9</v>
      </c>
      <c r="E21" s="7">
        <v>22000</v>
      </c>
      <c r="F21" s="7">
        <v>42</v>
      </c>
      <c r="G21" s="8">
        <f t="shared" si="0"/>
        <v>924000</v>
      </c>
    </row>
    <row r="22" spans="1:7" ht="15.5">
      <c r="A22" s="3">
        <v>43911</v>
      </c>
      <c r="B22" s="4" t="s">
        <v>12</v>
      </c>
      <c r="C22" s="4" t="s">
        <v>13</v>
      </c>
      <c r="D22" s="4" t="s">
        <v>11</v>
      </c>
      <c r="E22" s="4">
        <v>1250</v>
      </c>
      <c r="F22" s="4">
        <v>6</v>
      </c>
      <c r="G22" s="5">
        <f t="shared" si="0"/>
        <v>7500</v>
      </c>
    </row>
    <row r="23" spans="1:7" ht="15.5">
      <c r="A23" s="6">
        <v>43915</v>
      </c>
      <c r="B23" s="7" t="s">
        <v>15</v>
      </c>
      <c r="C23" s="7" t="s">
        <v>17</v>
      </c>
      <c r="D23" s="7" t="s">
        <v>18</v>
      </c>
      <c r="E23" s="7">
        <v>999</v>
      </c>
      <c r="F23" s="7">
        <v>28</v>
      </c>
      <c r="G23" s="8">
        <f t="shared" si="0"/>
        <v>27972</v>
      </c>
    </row>
    <row r="24" spans="1:7" ht="15.5">
      <c r="A24" s="3">
        <v>43919</v>
      </c>
      <c r="B24" s="4" t="s">
        <v>19</v>
      </c>
      <c r="C24" s="4" t="s">
        <v>13</v>
      </c>
      <c r="D24" s="4" t="s">
        <v>21</v>
      </c>
      <c r="E24" s="4">
        <v>1450</v>
      </c>
      <c r="F24" s="4">
        <v>13</v>
      </c>
      <c r="G24" s="5">
        <f t="shared" si="0"/>
        <v>18850</v>
      </c>
    </row>
    <row r="25" spans="1:7" ht="15.5">
      <c r="A25" s="6">
        <v>43923</v>
      </c>
      <c r="B25" s="7" t="s">
        <v>19</v>
      </c>
      <c r="C25" s="7" t="s">
        <v>13</v>
      </c>
      <c r="D25" s="7" t="s">
        <v>14</v>
      </c>
      <c r="E25" s="7">
        <v>23999</v>
      </c>
      <c r="F25" s="7">
        <v>8</v>
      </c>
      <c r="G25" s="8">
        <f t="shared" si="0"/>
        <v>191992</v>
      </c>
    </row>
    <row r="26" spans="1:7" ht="15.5">
      <c r="A26" s="3">
        <v>43927</v>
      </c>
      <c r="B26" s="4" t="s">
        <v>10</v>
      </c>
      <c r="C26" s="4" t="s">
        <v>16</v>
      </c>
      <c r="D26" s="4" t="s">
        <v>21</v>
      </c>
      <c r="E26" s="4">
        <v>65200</v>
      </c>
      <c r="F26" s="4">
        <v>7</v>
      </c>
      <c r="G26" s="5">
        <f t="shared" si="0"/>
        <v>456400</v>
      </c>
    </row>
    <row r="27" spans="1:7" ht="15.5">
      <c r="A27" s="6">
        <v>43931</v>
      </c>
      <c r="B27" s="7" t="s">
        <v>10</v>
      </c>
      <c r="C27" s="7" t="s">
        <v>22</v>
      </c>
      <c r="D27" s="7" t="s">
        <v>11</v>
      </c>
      <c r="E27" s="7">
        <v>699</v>
      </c>
      <c r="F27" s="7">
        <v>45</v>
      </c>
      <c r="G27" s="8">
        <f t="shared" si="0"/>
        <v>31455</v>
      </c>
    </row>
    <row r="28" spans="1:7" ht="15.5">
      <c r="A28" s="3">
        <v>43935</v>
      </c>
      <c r="B28" s="4" t="s">
        <v>7</v>
      </c>
      <c r="C28" s="4" t="s">
        <v>8</v>
      </c>
      <c r="D28" s="4" t="s">
        <v>9</v>
      </c>
      <c r="E28" s="4">
        <v>2550</v>
      </c>
      <c r="F28" s="4">
        <v>22</v>
      </c>
      <c r="G28" s="5">
        <f t="shared" si="0"/>
        <v>56100</v>
      </c>
    </row>
    <row r="29" spans="1:7" ht="15.5">
      <c r="A29" s="6">
        <v>43939</v>
      </c>
      <c r="B29" s="7" t="s">
        <v>12</v>
      </c>
      <c r="C29" s="7" t="s">
        <v>20</v>
      </c>
      <c r="D29" s="7" t="s">
        <v>21</v>
      </c>
      <c r="E29" s="7">
        <v>22000</v>
      </c>
      <c r="F29" s="7">
        <v>4</v>
      </c>
      <c r="G29" s="8">
        <f t="shared" si="0"/>
        <v>88000</v>
      </c>
    </row>
    <row r="30" spans="1:7" ht="15.5">
      <c r="A30" s="3">
        <v>43943</v>
      </c>
      <c r="B30" s="4" t="s">
        <v>19</v>
      </c>
      <c r="C30" s="4" t="s">
        <v>16</v>
      </c>
      <c r="D30" s="4" t="s">
        <v>9</v>
      </c>
      <c r="E30" s="4">
        <v>22000</v>
      </c>
      <c r="F30" s="4">
        <v>10</v>
      </c>
      <c r="G30" s="5">
        <f t="shared" si="0"/>
        <v>220000</v>
      </c>
    </row>
    <row r="31" spans="1:7" ht="15.5">
      <c r="A31" s="6">
        <v>43947</v>
      </c>
      <c r="B31" s="7" t="s">
        <v>23</v>
      </c>
      <c r="C31" s="7" t="s">
        <v>22</v>
      </c>
      <c r="D31" s="7" t="s">
        <v>18</v>
      </c>
      <c r="E31" s="7">
        <v>1499</v>
      </c>
      <c r="F31" s="7">
        <v>16</v>
      </c>
      <c r="G31" s="8">
        <f t="shared" si="0"/>
        <v>23984</v>
      </c>
    </row>
    <row r="32" spans="1:7" ht="15.5">
      <c r="A32" s="3">
        <v>43951</v>
      </c>
      <c r="B32" s="4" t="s">
        <v>10</v>
      </c>
      <c r="C32" s="4" t="s">
        <v>17</v>
      </c>
      <c r="D32" s="4" t="s">
        <v>21</v>
      </c>
      <c r="E32" s="4">
        <v>120</v>
      </c>
      <c r="F32" s="4">
        <v>22</v>
      </c>
      <c r="G32" s="5">
        <f t="shared" si="0"/>
        <v>2640</v>
      </c>
    </row>
    <row r="33" spans="1:7" ht="15.5">
      <c r="A33" s="6">
        <v>43955</v>
      </c>
      <c r="B33" s="7" t="s">
        <v>7</v>
      </c>
      <c r="C33" s="7" t="s">
        <v>8</v>
      </c>
      <c r="D33" s="7" t="s">
        <v>14</v>
      </c>
      <c r="E33" s="7">
        <v>1450</v>
      </c>
      <c r="F33" s="7">
        <v>20</v>
      </c>
      <c r="G33" s="8">
        <f t="shared" si="0"/>
        <v>29000</v>
      </c>
    </row>
    <row r="34" spans="1:7" ht="15.5">
      <c r="A34" s="3">
        <v>43959</v>
      </c>
      <c r="B34" s="4" t="s">
        <v>23</v>
      </c>
      <c r="C34" s="4" t="s">
        <v>22</v>
      </c>
      <c r="D34" s="4" t="s">
        <v>18</v>
      </c>
      <c r="E34" s="4">
        <v>1999</v>
      </c>
      <c r="F34" s="4">
        <v>23</v>
      </c>
      <c r="G34" s="5">
        <f t="shared" si="0"/>
        <v>45977</v>
      </c>
    </row>
    <row r="35" spans="1:7" ht="15.5">
      <c r="A35" s="6">
        <v>43963</v>
      </c>
      <c r="B35" s="7" t="s">
        <v>10</v>
      </c>
      <c r="C35" s="7" t="s">
        <v>8</v>
      </c>
      <c r="D35" s="7" t="s">
        <v>9</v>
      </c>
      <c r="E35" s="7">
        <v>800</v>
      </c>
      <c r="F35" s="7">
        <v>43</v>
      </c>
      <c r="G35" s="8">
        <f t="shared" si="0"/>
        <v>34400</v>
      </c>
    </row>
    <row r="36" spans="1:7" ht="15.5">
      <c r="A36" s="3">
        <v>43967</v>
      </c>
      <c r="B36" s="4" t="s">
        <v>12</v>
      </c>
      <c r="C36" s="4" t="s">
        <v>17</v>
      </c>
      <c r="D36" s="4" t="s">
        <v>18</v>
      </c>
      <c r="E36" s="4">
        <v>18000</v>
      </c>
      <c r="F36" s="4">
        <v>41</v>
      </c>
      <c r="G36" s="5">
        <f t="shared" si="0"/>
        <v>738000</v>
      </c>
    </row>
    <row r="37" spans="1:7" ht="15.5">
      <c r="A37" s="6">
        <v>43971</v>
      </c>
      <c r="B37" s="7" t="s">
        <v>7</v>
      </c>
      <c r="C37" s="7" t="s">
        <v>8</v>
      </c>
      <c r="D37" s="7" t="s">
        <v>11</v>
      </c>
      <c r="E37" s="7">
        <v>13999</v>
      </c>
      <c r="F37" s="7">
        <v>37</v>
      </c>
      <c r="G37" s="8">
        <f t="shared" si="0"/>
        <v>517963</v>
      </c>
    </row>
    <row r="38" spans="1:7" ht="15.5">
      <c r="A38" s="3">
        <v>43975</v>
      </c>
      <c r="B38" s="4" t="s">
        <v>10</v>
      </c>
      <c r="C38" s="4" t="s">
        <v>20</v>
      </c>
      <c r="D38" s="4" t="s">
        <v>18</v>
      </c>
      <c r="E38" s="4">
        <v>22000</v>
      </c>
      <c r="F38" s="4">
        <v>45</v>
      </c>
      <c r="G38" s="5">
        <f t="shared" si="0"/>
        <v>990000</v>
      </c>
    </row>
    <row r="39" spans="1:7" ht="15.5">
      <c r="A39" s="6">
        <v>43979</v>
      </c>
      <c r="B39" s="7" t="s">
        <v>19</v>
      </c>
      <c r="C39" s="7" t="s">
        <v>16</v>
      </c>
      <c r="D39" s="7" t="s">
        <v>9</v>
      </c>
      <c r="E39" s="7">
        <v>89999</v>
      </c>
      <c r="F39" s="7">
        <v>15</v>
      </c>
      <c r="G39" s="8">
        <f t="shared" si="0"/>
        <v>1349985</v>
      </c>
    </row>
    <row r="40" spans="1:7" ht="15.5">
      <c r="A40" s="3">
        <v>43983</v>
      </c>
      <c r="B40" s="4" t="s">
        <v>7</v>
      </c>
      <c r="C40" s="4" t="s">
        <v>8</v>
      </c>
      <c r="D40" s="4" t="s">
        <v>14</v>
      </c>
      <c r="E40" s="4">
        <v>13999</v>
      </c>
      <c r="F40" s="4">
        <v>22</v>
      </c>
      <c r="G40" s="5">
        <f t="shared" si="0"/>
        <v>307978</v>
      </c>
    </row>
    <row r="41" spans="1:7" ht="15.5">
      <c r="A41" s="6">
        <v>43987</v>
      </c>
      <c r="B41" s="7" t="s">
        <v>12</v>
      </c>
      <c r="C41" s="7" t="s">
        <v>22</v>
      </c>
      <c r="D41" s="7" t="s">
        <v>11</v>
      </c>
      <c r="E41" s="7">
        <v>2900</v>
      </c>
      <c r="F41" s="7">
        <v>20</v>
      </c>
      <c r="G41" s="8">
        <f t="shared" si="0"/>
        <v>58000</v>
      </c>
    </row>
    <row r="42" spans="1:7" ht="15.5">
      <c r="A42" s="3">
        <v>43991</v>
      </c>
      <c r="B42" s="4" t="s">
        <v>10</v>
      </c>
      <c r="C42" s="4" t="s">
        <v>20</v>
      </c>
      <c r="D42" s="4" t="s">
        <v>18</v>
      </c>
      <c r="E42" s="4">
        <v>33000</v>
      </c>
      <c r="F42" s="4">
        <v>16</v>
      </c>
      <c r="G42" s="5">
        <f t="shared" si="0"/>
        <v>528000</v>
      </c>
    </row>
    <row r="43" spans="1:7" ht="15.5">
      <c r="A43" s="6">
        <v>43995</v>
      </c>
      <c r="B43" s="7" t="s">
        <v>12</v>
      </c>
      <c r="C43" s="7" t="s">
        <v>20</v>
      </c>
      <c r="D43" s="7" t="s">
        <v>11</v>
      </c>
      <c r="E43" s="7">
        <v>22000</v>
      </c>
      <c r="F43" s="7">
        <v>17</v>
      </c>
      <c r="G43" s="8">
        <f t="shared" si="0"/>
        <v>374000</v>
      </c>
    </row>
    <row r="44" spans="1:7" ht="15.5">
      <c r="A44" s="3">
        <v>43999</v>
      </c>
      <c r="B44" s="4" t="s">
        <v>23</v>
      </c>
      <c r="C44" s="4" t="s">
        <v>22</v>
      </c>
      <c r="D44" s="4" t="s">
        <v>11</v>
      </c>
      <c r="E44" s="4">
        <v>699</v>
      </c>
      <c r="F44" s="4">
        <v>50</v>
      </c>
      <c r="G44" s="5">
        <f t="shared" si="0"/>
        <v>34950</v>
      </c>
    </row>
    <row r="45" spans="1:7" ht="15.5">
      <c r="A45" s="6">
        <v>44003</v>
      </c>
      <c r="B45" s="7" t="s">
        <v>19</v>
      </c>
      <c r="C45" s="7" t="s">
        <v>20</v>
      </c>
      <c r="D45" s="7" t="s">
        <v>14</v>
      </c>
      <c r="E45" s="7">
        <v>499</v>
      </c>
      <c r="F45" s="7">
        <v>4</v>
      </c>
      <c r="G45" s="8">
        <f t="shared" si="0"/>
        <v>1996</v>
      </c>
    </row>
    <row r="46" spans="1:7" ht="15.5">
      <c r="A46" s="3">
        <v>44007</v>
      </c>
      <c r="B46" s="4" t="s">
        <v>10</v>
      </c>
      <c r="C46" s="4" t="s">
        <v>22</v>
      </c>
      <c r="D46" s="4" t="s">
        <v>18</v>
      </c>
      <c r="E46" s="4">
        <v>590</v>
      </c>
      <c r="F46" s="4">
        <v>43</v>
      </c>
      <c r="G46" s="5">
        <f t="shared" si="0"/>
        <v>25370</v>
      </c>
    </row>
    <row r="47" spans="1:7" ht="15.5">
      <c r="A47" s="6">
        <v>44011</v>
      </c>
      <c r="B47" s="7" t="s">
        <v>23</v>
      </c>
      <c r="C47" s="7" t="s">
        <v>22</v>
      </c>
      <c r="D47" s="7" t="s">
        <v>11</v>
      </c>
      <c r="E47" s="7">
        <v>590</v>
      </c>
      <c r="F47" s="7">
        <v>42</v>
      </c>
      <c r="G47" s="8">
        <f t="shared" si="0"/>
        <v>24780</v>
      </c>
    </row>
    <row r="48" spans="1:7" ht="15.5">
      <c r="A48" s="3">
        <v>44015</v>
      </c>
      <c r="B48" s="4" t="s">
        <v>10</v>
      </c>
      <c r="C48" s="4" t="s">
        <v>16</v>
      </c>
      <c r="D48" s="4" t="s">
        <v>9</v>
      </c>
      <c r="E48" s="4">
        <v>120</v>
      </c>
      <c r="F48" s="4">
        <v>9</v>
      </c>
      <c r="G48" s="5">
        <f t="shared" si="0"/>
        <v>1080</v>
      </c>
    </row>
    <row r="49" spans="1:7" ht="15.5">
      <c r="A49" s="6">
        <v>44019</v>
      </c>
      <c r="B49" s="7" t="s">
        <v>19</v>
      </c>
      <c r="C49" s="7" t="s">
        <v>20</v>
      </c>
      <c r="D49" s="7" t="s">
        <v>21</v>
      </c>
      <c r="E49" s="7">
        <v>52000</v>
      </c>
      <c r="F49" s="7">
        <v>40</v>
      </c>
      <c r="G49" s="8">
        <f t="shared" si="0"/>
        <v>2080000</v>
      </c>
    </row>
    <row r="50" spans="1:7" ht="15.5">
      <c r="A50" s="3">
        <v>44023</v>
      </c>
      <c r="B50" s="4" t="s">
        <v>12</v>
      </c>
      <c r="C50" s="4" t="s">
        <v>13</v>
      </c>
      <c r="D50" s="4" t="s">
        <v>18</v>
      </c>
      <c r="E50" s="4">
        <v>7999</v>
      </c>
      <c r="F50" s="4">
        <v>14</v>
      </c>
      <c r="G50" s="5">
        <f t="shared" si="0"/>
        <v>111986</v>
      </c>
    </row>
    <row r="51" spans="1:7" ht="15.5">
      <c r="A51" s="6">
        <v>44027</v>
      </c>
      <c r="B51" s="7" t="s">
        <v>10</v>
      </c>
      <c r="C51" s="7" t="s">
        <v>13</v>
      </c>
      <c r="D51" s="7" t="s">
        <v>21</v>
      </c>
      <c r="E51" s="7">
        <v>550</v>
      </c>
      <c r="F51" s="7">
        <v>9</v>
      </c>
      <c r="G51" s="8">
        <f t="shared" si="0"/>
        <v>4950</v>
      </c>
    </row>
    <row r="52" spans="1:7" ht="15.5">
      <c r="A52" s="3">
        <v>44031</v>
      </c>
      <c r="B52" s="4" t="s">
        <v>12</v>
      </c>
      <c r="C52" s="4" t="s">
        <v>16</v>
      </c>
      <c r="D52" s="4" t="s">
        <v>18</v>
      </c>
      <c r="E52" s="4">
        <v>79999</v>
      </c>
      <c r="F52" s="4">
        <v>10</v>
      </c>
      <c r="G52" s="5">
        <f t="shared" si="0"/>
        <v>799990</v>
      </c>
    </row>
    <row r="53" spans="1:7" ht="15.5">
      <c r="A53" s="6">
        <v>44035</v>
      </c>
      <c r="B53" s="7" t="s">
        <v>23</v>
      </c>
      <c r="C53" s="7" t="s">
        <v>22</v>
      </c>
      <c r="D53" s="7" t="s">
        <v>18</v>
      </c>
      <c r="E53" s="7">
        <v>1999</v>
      </c>
      <c r="F53" s="7">
        <v>37</v>
      </c>
      <c r="G53" s="8">
        <f t="shared" si="0"/>
        <v>73963</v>
      </c>
    </row>
    <row r="54" spans="1:7" ht="15.5">
      <c r="A54" s="3">
        <v>44039</v>
      </c>
      <c r="B54" s="4" t="s">
        <v>19</v>
      </c>
      <c r="C54" s="4" t="s">
        <v>20</v>
      </c>
      <c r="D54" s="4" t="s">
        <v>14</v>
      </c>
      <c r="E54" s="4">
        <v>89999</v>
      </c>
      <c r="F54" s="4">
        <v>29</v>
      </c>
      <c r="G54" s="5">
        <f t="shared" si="0"/>
        <v>2609971</v>
      </c>
    </row>
    <row r="55" spans="1:7" ht="15.5">
      <c r="A55" s="6">
        <v>44043</v>
      </c>
      <c r="B55" s="7" t="s">
        <v>10</v>
      </c>
      <c r="C55" s="7" t="s">
        <v>16</v>
      </c>
      <c r="D55" s="7" t="s">
        <v>18</v>
      </c>
      <c r="E55" s="7">
        <v>78500</v>
      </c>
      <c r="F55" s="7">
        <v>44</v>
      </c>
      <c r="G55" s="8">
        <f t="shared" si="0"/>
        <v>3454000</v>
      </c>
    </row>
    <row r="56" spans="1:7" ht="15.5">
      <c r="A56" s="3">
        <v>44047</v>
      </c>
      <c r="B56" s="4" t="s">
        <v>19</v>
      </c>
      <c r="C56" s="4" t="s">
        <v>20</v>
      </c>
      <c r="D56" s="4" t="s">
        <v>11</v>
      </c>
      <c r="E56" s="4">
        <v>3990</v>
      </c>
      <c r="F56" s="4">
        <v>31</v>
      </c>
      <c r="G56" s="5">
        <f t="shared" si="0"/>
        <v>123690</v>
      </c>
    </row>
    <row r="57" spans="1:7" ht="15.5">
      <c r="A57" s="6">
        <v>44051</v>
      </c>
      <c r="B57" s="7" t="s">
        <v>12</v>
      </c>
      <c r="C57" s="7" t="s">
        <v>20</v>
      </c>
      <c r="D57" s="7" t="s">
        <v>18</v>
      </c>
      <c r="E57" s="7">
        <v>52000</v>
      </c>
      <c r="F57" s="7">
        <v>29</v>
      </c>
      <c r="G57" s="8">
        <f t="shared" si="0"/>
        <v>1508000</v>
      </c>
    </row>
    <row r="58" spans="1:7" ht="15.5">
      <c r="A58" s="3">
        <v>44055</v>
      </c>
      <c r="B58" s="4" t="s">
        <v>7</v>
      </c>
      <c r="C58" s="4" t="s">
        <v>16</v>
      </c>
      <c r="D58" s="4" t="s">
        <v>18</v>
      </c>
      <c r="E58" s="4">
        <v>13999</v>
      </c>
      <c r="F58" s="4">
        <v>34</v>
      </c>
      <c r="G58" s="5">
        <f t="shared" si="0"/>
        <v>475966</v>
      </c>
    </row>
    <row r="59" spans="1:7" ht="15.5">
      <c r="A59" s="6">
        <v>44059</v>
      </c>
      <c r="B59" s="7" t="s">
        <v>10</v>
      </c>
      <c r="C59" s="7" t="s">
        <v>17</v>
      </c>
      <c r="D59" s="7" t="s">
        <v>11</v>
      </c>
      <c r="E59" s="7">
        <v>120</v>
      </c>
      <c r="F59" s="7">
        <v>29</v>
      </c>
      <c r="G59" s="8">
        <f t="shared" si="0"/>
        <v>3480</v>
      </c>
    </row>
    <row r="60" spans="1:7" ht="15.5">
      <c r="A60" s="3">
        <v>44063</v>
      </c>
      <c r="B60" s="4" t="s">
        <v>19</v>
      </c>
      <c r="C60" s="4" t="s">
        <v>13</v>
      </c>
      <c r="D60" s="4" t="s">
        <v>11</v>
      </c>
      <c r="E60" s="4">
        <v>23999</v>
      </c>
      <c r="F60" s="4">
        <v>25</v>
      </c>
      <c r="G60" s="5">
        <f t="shared" si="0"/>
        <v>599975</v>
      </c>
    </row>
    <row r="61" spans="1:7" ht="15.5">
      <c r="A61" s="6">
        <v>44067</v>
      </c>
      <c r="B61" s="7" t="s">
        <v>19</v>
      </c>
      <c r="C61" s="7" t="s">
        <v>16</v>
      </c>
      <c r="D61" s="7" t="s">
        <v>18</v>
      </c>
      <c r="E61" s="7">
        <v>45000</v>
      </c>
      <c r="F61" s="7">
        <v>31</v>
      </c>
      <c r="G61" s="8">
        <f t="shared" si="0"/>
        <v>1395000</v>
      </c>
    </row>
    <row r="62" spans="1:7" ht="15.5">
      <c r="A62" s="3">
        <v>44071</v>
      </c>
      <c r="B62" s="4" t="s">
        <v>10</v>
      </c>
      <c r="C62" s="4" t="s">
        <v>22</v>
      </c>
      <c r="D62" s="4" t="s">
        <v>11</v>
      </c>
      <c r="E62" s="4">
        <v>450</v>
      </c>
      <c r="F62" s="4">
        <v>16</v>
      </c>
      <c r="G62" s="5">
        <f t="shared" si="0"/>
        <v>7200</v>
      </c>
    </row>
    <row r="63" spans="1:7" ht="15.5">
      <c r="A63" s="6">
        <v>44075</v>
      </c>
      <c r="B63" s="7" t="s">
        <v>15</v>
      </c>
      <c r="C63" s="7" t="s">
        <v>17</v>
      </c>
      <c r="D63" s="7" t="s">
        <v>18</v>
      </c>
      <c r="E63" s="7">
        <v>65000</v>
      </c>
      <c r="F63" s="7">
        <v>48</v>
      </c>
      <c r="G63" s="8">
        <f t="shared" si="0"/>
        <v>3120000</v>
      </c>
    </row>
    <row r="64" spans="1:7" ht="15.5">
      <c r="A64" s="3">
        <v>44079</v>
      </c>
      <c r="B64" s="4" t="s">
        <v>12</v>
      </c>
      <c r="C64" s="4" t="s">
        <v>16</v>
      </c>
      <c r="D64" s="4" t="s">
        <v>21</v>
      </c>
      <c r="E64" s="4">
        <v>35600</v>
      </c>
      <c r="F64" s="4">
        <v>22</v>
      </c>
      <c r="G64" s="5">
        <f t="shared" si="0"/>
        <v>783200</v>
      </c>
    </row>
    <row r="65" spans="1:7" ht="15.5">
      <c r="A65" s="6">
        <v>44083</v>
      </c>
      <c r="B65" s="7" t="s">
        <v>23</v>
      </c>
      <c r="C65" s="7" t="s">
        <v>22</v>
      </c>
      <c r="D65" s="7" t="s">
        <v>14</v>
      </c>
      <c r="E65" s="7">
        <v>699</v>
      </c>
      <c r="F65" s="7">
        <v>6</v>
      </c>
      <c r="G65" s="8">
        <f t="shared" si="0"/>
        <v>4194</v>
      </c>
    </row>
    <row r="66" spans="1:7" ht="15.5">
      <c r="A66" s="3">
        <v>44087</v>
      </c>
      <c r="B66" s="4" t="s">
        <v>10</v>
      </c>
      <c r="C66" s="4" t="s">
        <v>22</v>
      </c>
      <c r="D66" s="4" t="s">
        <v>11</v>
      </c>
      <c r="E66" s="4">
        <v>990</v>
      </c>
      <c r="F66" s="4">
        <v>12</v>
      </c>
      <c r="G66" s="5">
        <f t="shared" si="0"/>
        <v>11880</v>
      </c>
    </row>
    <row r="67" spans="1:7" ht="15.5">
      <c r="A67" s="6">
        <v>44091</v>
      </c>
      <c r="B67" s="7" t="s">
        <v>23</v>
      </c>
      <c r="C67" s="7" t="s">
        <v>16</v>
      </c>
      <c r="D67" s="7" t="s">
        <v>9</v>
      </c>
      <c r="E67" s="7">
        <v>450</v>
      </c>
      <c r="F67" s="7">
        <v>44</v>
      </c>
      <c r="G67" s="8">
        <f t="shared" ref="G67:G130" si="1">E67*F67</f>
        <v>19800</v>
      </c>
    </row>
    <row r="68" spans="1:7" ht="15.5">
      <c r="A68" s="3">
        <v>44095</v>
      </c>
      <c r="B68" s="4" t="s">
        <v>23</v>
      </c>
      <c r="C68" s="4" t="s">
        <v>22</v>
      </c>
      <c r="D68" s="4" t="s">
        <v>14</v>
      </c>
      <c r="E68" s="4">
        <v>1499</v>
      </c>
      <c r="F68" s="4">
        <v>15</v>
      </c>
      <c r="G68" s="5">
        <f t="shared" si="1"/>
        <v>22485</v>
      </c>
    </row>
    <row r="69" spans="1:7" ht="15.5">
      <c r="A69" s="6">
        <v>44099</v>
      </c>
      <c r="B69" s="7" t="s">
        <v>7</v>
      </c>
      <c r="C69" s="7" t="s">
        <v>8</v>
      </c>
      <c r="D69" s="7" t="s">
        <v>21</v>
      </c>
      <c r="E69" s="7">
        <v>499</v>
      </c>
      <c r="F69" s="7">
        <v>26</v>
      </c>
      <c r="G69" s="8">
        <f t="shared" si="1"/>
        <v>12974</v>
      </c>
    </row>
    <row r="70" spans="1:7" ht="15.5">
      <c r="A70" s="3">
        <v>44103</v>
      </c>
      <c r="B70" s="4" t="s">
        <v>12</v>
      </c>
      <c r="C70" s="4" t="s">
        <v>16</v>
      </c>
      <c r="D70" s="4" t="s">
        <v>21</v>
      </c>
      <c r="E70" s="4">
        <v>44000</v>
      </c>
      <c r="F70" s="4">
        <v>16</v>
      </c>
      <c r="G70" s="5">
        <f t="shared" si="1"/>
        <v>704000</v>
      </c>
    </row>
    <row r="71" spans="1:7" ht="15.5">
      <c r="A71" s="6">
        <v>44107</v>
      </c>
      <c r="B71" s="7" t="s">
        <v>7</v>
      </c>
      <c r="C71" s="7" t="s">
        <v>8</v>
      </c>
      <c r="D71" s="7" t="s">
        <v>18</v>
      </c>
      <c r="E71" s="7">
        <v>5599</v>
      </c>
      <c r="F71" s="7">
        <v>35</v>
      </c>
      <c r="G71" s="8">
        <f t="shared" si="1"/>
        <v>195965</v>
      </c>
    </row>
    <row r="72" spans="1:7" ht="15.5">
      <c r="A72" s="3">
        <v>44111</v>
      </c>
      <c r="B72" s="4" t="s">
        <v>15</v>
      </c>
      <c r="C72" s="4" t="s">
        <v>16</v>
      </c>
      <c r="D72" s="4" t="s">
        <v>9</v>
      </c>
      <c r="E72" s="4">
        <v>54100</v>
      </c>
      <c r="F72" s="4">
        <v>36</v>
      </c>
      <c r="G72" s="5">
        <f t="shared" si="1"/>
        <v>1947600</v>
      </c>
    </row>
    <row r="73" spans="1:7" ht="15.5">
      <c r="A73" s="6">
        <v>44115</v>
      </c>
      <c r="B73" s="7" t="s">
        <v>7</v>
      </c>
      <c r="C73" s="7" t="s">
        <v>8</v>
      </c>
      <c r="D73" s="7" t="s">
        <v>14</v>
      </c>
      <c r="E73" s="7">
        <v>2550</v>
      </c>
      <c r="F73" s="7">
        <v>20</v>
      </c>
      <c r="G73" s="8">
        <f t="shared" si="1"/>
        <v>51000</v>
      </c>
    </row>
    <row r="74" spans="1:7" ht="15.5">
      <c r="A74" s="3">
        <v>44119</v>
      </c>
      <c r="B74" s="4" t="s">
        <v>10</v>
      </c>
      <c r="C74" s="4" t="s">
        <v>16</v>
      </c>
      <c r="D74" s="4" t="s">
        <v>14</v>
      </c>
      <c r="E74" s="4">
        <v>1450</v>
      </c>
      <c r="F74" s="4">
        <v>47</v>
      </c>
      <c r="G74" s="5">
        <f t="shared" si="1"/>
        <v>68150</v>
      </c>
    </row>
    <row r="75" spans="1:7" ht="15.5">
      <c r="A75" s="6">
        <v>44123</v>
      </c>
      <c r="B75" s="7" t="s">
        <v>23</v>
      </c>
      <c r="C75" s="7" t="s">
        <v>22</v>
      </c>
      <c r="D75" s="7" t="s">
        <v>18</v>
      </c>
      <c r="E75" s="7">
        <v>2900</v>
      </c>
      <c r="F75" s="7">
        <v>6</v>
      </c>
      <c r="G75" s="8">
        <f t="shared" si="1"/>
        <v>17400</v>
      </c>
    </row>
    <row r="76" spans="1:7" ht="15.5">
      <c r="A76" s="3">
        <v>44127</v>
      </c>
      <c r="B76" s="4" t="s">
        <v>15</v>
      </c>
      <c r="C76" s="4" t="s">
        <v>16</v>
      </c>
      <c r="D76" s="4" t="s">
        <v>21</v>
      </c>
      <c r="E76" s="4">
        <v>65200</v>
      </c>
      <c r="F76" s="4">
        <v>6</v>
      </c>
      <c r="G76" s="5">
        <f t="shared" si="1"/>
        <v>391200</v>
      </c>
    </row>
    <row r="77" spans="1:7" ht="15.5">
      <c r="A77" s="6">
        <v>44131</v>
      </c>
      <c r="B77" s="7" t="s">
        <v>10</v>
      </c>
      <c r="C77" s="7" t="s">
        <v>20</v>
      </c>
      <c r="D77" s="7" t="s">
        <v>21</v>
      </c>
      <c r="E77" s="7">
        <v>52000</v>
      </c>
      <c r="F77" s="7">
        <v>41</v>
      </c>
      <c r="G77" s="8">
        <f t="shared" si="1"/>
        <v>2132000</v>
      </c>
    </row>
    <row r="78" spans="1:7" ht="15.5">
      <c r="A78" s="3">
        <v>44135</v>
      </c>
      <c r="B78" s="4" t="s">
        <v>12</v>
      </c>
      <c r="C78" s="4" t="s">
        <v>16</v>
      </c>
      <c r="D78" s="4" t="s">
        <v>11</v>
      </c>
      <c r="E78" s="4">
        <v>59000</v>
      </c>
      <c r="F78" s="4">
        <v>29</v>
      </c>
      <c r="G78" s="5">
        <f t="shared" si="1"/>
        <v>1711000</v>
      </c>
    </row>
    <row r="79" spans="1:7" ht="15.5">
      <c r="A79" s="6">
        <v>44139</v>
      </c>
      <c r="B79" s="7" t="s">
        <v>19</v>
      </c>
      <c r="C79" s="7" t="s">
        <v>13</v>
      </c>
      <c r="D79" s="7" t="s">
        <v>21</v>
      </c>
      <c r="E79" s="7">
        <v>7999</v>
      </c>
      <c r="F79" s="7">
        <v>31</v>
      </c>
      <c r="G79" s="8">
        <f t="shared" si="1"/>
        <v>247969</v>
      </c>
    </row>
    <row r="80" spans="1:7" ht="15.5">
      <c r="A80" s="3">
        <v>44143</v>
      </c>
      <c r="B80" s="4" t="s">
        <v>10</v>
      </c>
      <c r="C80" s="4" t="s">
        <v>17</v>
      </c>
      <c r="D80" s="4" t="s">
        <v>11</v>
      </c>
      <c r="E80" s="4">
        <v>45000</v>
      </c>
      <c r="F80" s="4">
        <v>34</v>
      </c>
      <c r="G80" s="5">
        <f t="shared" si="1"/>
        <v>1530000</v>
      </c>
    </row>
    <row r="81" spans="1:7" ht="15.5">
      <c r="A81" s="6">
        <v>44147</v>
      </c>
      <c r="B81" s="7" t="s">
        <v>23</v>
      </c>
      <c r="C81" s="7" t="s">
        <v>22</v>
      </c>
      <c r="D81" s="7" t="s">
        <v>9</v>
      </c>
      <c r="E81" s="7">
        <v>990</v>
      </c>
      <c r="F81" s="7">
        <v>43</v>
      </c>
      <c r="G81" s="8">
        <f t="shared" si="1"/>
        <v>42570</v>
      </c>
    </row>
    <row r="82" spans="1:7" ht="15.5">
      <c r="A82" s="3">
        <v>44151</v>
      </c>
      <c r="B82" s="4" t="s">
        <v>19</v>
      </c>
      <c r="C82" s="4" t="s">
        <v>20</v>
      </c>
      <c r="D82" s="4" t="s">
        <v>9</v>
      </c>
      <c r="E82" s="4">
        <v>11999</v>
      </c>
      <c r="F82" s="4">
        <v>37</v>
      </c>
      <c r="G82" s="5">
        <f t="shared" si="1"/>
        <v>443963</v>
      </c>
    </row>
    <row r="83" spans="1:7" ht="15.5">
      <c r="A83" s="6">
        <v>44155</v>
      </c>
      <c r="B83" s="7" t="s">
        <v>19</v>
      </c>
      <c r="C83" s="7" t="s">
        <v>13</v>
      </c>
      <c r="D83" s="7" t="s">
        <v>9</v>
      </c>
      <c r="E83" s="7">
        <v>960</v>
      </c>
      <c r="F83" s="7">
        <v>7</v>
      </c>
      <c r="G83" s="8">
        <f t="shared" si="1"/>
        <v>6720</v>
      </c>
    </row>
    <row r="84" spans="1:7" ht="15.5">
      <c r="A84" s="3">
        <v>44159</v>
      </c>
      <c r="B84" s="4" t="s">
        <v>10</v>
      </c>
      <c r="C84" s="4" t="s">
        <v>8</v>
      </c>
      <c r="D84" s="4" t="s">
        <v>14</v>
      </c>
      <c r="E84" s="4">
        <v>1450</v>
      </c>
      <c r="F84" s="4">
        <v>19</v>
      </c>
      <c r="G84" s="5">
        <f t="shared" si="1"/>
        <v>27550</v>
      </c>
    </row>
    <row r="85" spans="1:7" ht="15.5">
      <c r="A85" s="6">
        <v>44163</v>
      </c>
      <c r="B85" s="7" t="s">
        <v>12</v>
      </c>
      <c r="C85" s="7" t="s">
        <v>16</v>
      </c>
      <c r="D85" s="7" t="s">
        <v>11</v>
      </c>
      <c r="E85" s="7">
        <v>45000</v>
      </c>
      <c r="F85" s="7">
        <v>47</v>
      </c>
      <c r="G85" s="8">
        <f t="shared" si="1"/>
        <v>2115000</v>
      </c>
    </row>
    <row r="86" spans="1:7" ht="15.5">
      <c r="A86" s="3">
        <v>44167</v>
      </c>
      <c r="B86" s="4" t="s">
        <v>10</v>
      </c>
      <c r="C86" s="4" t="s">
        <v>22</v>
      </c>
      <c r="D86" s="4" t="s">
        <v>11</v>
      </c>
      <c r="E86" s="4">
        <v>1499</v>
      </c>
      <c r="F86" s="4">
        <v>37</v>
      </c>
      <c r="G86" s="5">
        <f t="shared" si="1"/>
        <v>55463</v>
      </c>
    </row>
    <row r="87" spans="1:7" ht="15.5">
      <c r="A87" s="6">
        <v>44171</v>
      </c>
      <c r="B87" s="7" t="s">
        <v>19</v>
      </c>
      <c r="C87" s="7" t="s">
        <v>20</v>
      </c>
      <c r="D87" s="7" t="s">
        <v>14</v>
      </c>
      <c r="E87" s="7">
        <v>79999</v>
      </c>
      <c r="F87" s="7">
        <v>4</v>
      </c>
      <c r="G87" s="8">
        <f t="shared" si="1"/>
        <v>319996</v>
      </c>
    </row>
    <row r="88" spans="1:7" ht="15.5">
      <c r="A88" s="3">
        <v>44175</v>
      </c>
      <c r="B88" s="4" t="s">
        <v>15</v>
      </c>
      <c r="C88" s="4" t="s">
        <v>16</v>
      </c>
      <c r="D88" s="4" t="s">
        <v>21</v>
      </c>
      <c r="E88" s="4">
        <v>999</v>
      </c>
      <c r="F88" s="4">
        <v>45</v>
      </c>
      <c r="G88" s="5">
        <f t="shared" si="1"/>
        <v>44955</v>
      </c>
    </row>
    <row r="89" spans="1:7" ht="15.5">
      <c r="A89" s="6">
        <v>44179</v>
      </c>
      <c r="B89" s="7" t="s">
        <v>10</v>
      </c>
      <c r="C89" s="7" t="s">
        <v>20</v>
      </c>
      <c r="D89" s="7" t="s">
        <v>9</v>
      </c>
      <c r="E89" s="7">
        <v>52000</v>
      </c>
      <c r="F89" s="7">
        <v>15</v>
      </c>
      <c r="G89" s="8">
        <f t="shared" si="1"/>
        <v>780000</v>
      </c>
    </row>
    <row r="90" spans="1:7" ht="15.5">
      <c r="A90" s="3">
        <v>44183</v>
      </c>
      <c r="B90" s="4" t="s">
        <v>12</v>
      </c>
      <c r="C90" s="4" t="s">
        <v>16</v>
      </c>
      <c r="D90" s="4" t="s">
        <v>18</v>
      </c>
      <c r="E90" s="4">
        <v>52000</v>
      </c>
      <c r="F90" s="4">
        <v>39</v>
      </c>
      <c r="G90" s="5">
        <f t="shared" si="1"/>
        <v>2028000</v>
      </c>
    </row>
    <row r="91" spans="1:7" ht="15.5">
      <c r="A91" s="6">
        <v>44187</v>
      </c>
      <c r="B91" s="7" t="s">
        <v>19</v>
      </c>
      <c r="C91" s="7" t="s">
        <v>13</v>
      </c>
      <c r="D91" s="7" t="s">
        <v>14</v>
      </c>
      <c r="E91" s="7">
        <v>960</v>
      </c>
      <c r="F91" s="7">
        <v>33</v>
      </c>
      <c r="G91" s="8">
        <f t="shared" si="1"/>
        <v>31680</v>
      </c>
    </row>
    <row r="92" spans="1:7" ht="15.5">
      <c r="A92" s="3">
        <v>44191</v>
      </c>
      <c r="B92" s="4" t="s">
        <v>19</v>
      </c>
      <c r="C92" s="4" t="s">
        <v>16</v>
      </c>
      <c r="D92" s="4" t="s">
        <v>18</v>
      </c>
      <c r="E92" s="4">
        <v>19500</v>
      </c>
      <c r="F92" s="4">
        <v>45</v>
      </c>
      <c r="G92" s="5">
        <f t="shared" si="1"/>
        <v>877500</v>
      </c>
    </row>
    <row r="93" spans="1:7" ht="15.5">
      <c r="A93" s="6">
        <v>44195</v>
      </c>
      <c r="B93" s="7" t="s">
        <v>19</v>
      </c>
      <c r="C93" s="7" t="s">
        <v>20</v>
      </c>
      <c r="D93" s="7" t="s">
        <v>18</v>
      </c>
      <c r="E93" s="7">
        <v>2999</v>
      </c>
      <c r="F93" s="7">
        <v>33</v>
      </c>
      <c r="G93" s="8">
        <f t="shared" si="1"/>
        <v>98967</v>
      </c>
    </row>
    <row r="94" spans="1:7" ht="15.5">
      <c r="A94" s="3">
        <v>44199</v>
      </c>
      <c r="B94" s="4" t="s">
        <v>10</v>
      </c>
      <c r="C94" s="4" t="s">
        <v>13</v>
      </c>
      <c r="D94" s="4" t="s">
        <v>21</v>
      </c>
      <c r="E94" s="4">
        <v>1250</v>
      </c>
      <c r="F94" s="4">
        <v>14</v>
      </c>
      <c r="G94" s="5">
        <f t="shared" si="1"/>
        <v>17500</v>
      </c>
    </row>
    <row r="95" spans="1:7" ht="15.5">
      <c r="A95" s="6">
        <v>44203</v>
      </c>
      <c r="B95" s="7" t="s">
        <v>10</v>
      </c>
      <c r="C95" s="7" t="s">
        <v>17</v>
      </c>
      <c r="D95" s="7" t="s">
        <v>9</v>
      </c>
      <c r="E95" s="7">
        <v>120</v>
      </c>
      <c r="F95" s="7">
        <v>41</v>
      </c>
      <c r="G95" s="8">
        <f t="shared" si="1"/>
        <v>4920</v>
      </c>
    </row>
    <row r="96" spans="1:7" ht="15.5">
      <c r="A96" s="3">
        <v>44207</v>
      </c>
      <c r="B96" s="4" t="s">
        <v>12</v>
      </c>
      <c r="C96" s="4" t="s">
        <v>8</v>
      </c>
      <c r="D96" s="4" t="s">
        <v>18</v>
      </c>
      <c r="E96" s="4">
        <v>1450</v>
      </c>
      <c r="F96" s="4">
        <v>22</v>
      </c>
      <c r="G96" s="5">
        <f t="shared" si="1"/>
        <v>31900</v>
      </c>
    </row>
    <row r="97" spans="1:7" ht="15.5">
      <c r="A97" s="6">
        <v>44211</v>
      </c>
      <c r="B97" s="7" t="s">
        <v>19</v>
      </c>
      <c r="C97" s="7" t="s">
        <v>20</v>
      </c>
      <c r="D97" s="7" t="s">
        <v>9</v>
      </c>
      <c r="E97" s="7">
        <v>89999</v>
      </c>
      <c r="F97" s="7">
        <v>15</v>
      </c>
      <c r="G97" s="8">
        <f t="shared" si="1"/>
        <v>1349985</v>
      </c>
    </row>
    <row r="98" spans="1:7" ht="15.5">
      <c r="A98" s="3">
        <v>44215</v>
      </c>
      <c r="B98" s="4" t="s">
        <v>23</v>
      </c>
      <c r="C98" s="4" t="s">
        <v>16</v>
      </c>
      <c r="D98" s="4" t="s">
        <v>14</v>
      </c>
      <c r="E98" s="4">
        <v>1999</v>
      </c>
      <c r="F98" s="4">
        <v>48</v>
      </c>
      <c r="G98" s="5">
        <f t="shared" si="1"/>
        <v>95952</v>
      </c>
    </row>
    <row r="99" spans="1:7" ht="15.5">
      <c r="A99" s="6">
        <v>44219</v>
      </c>
      <c r="B99" s="7" t="s">
        <v>23</v>
      </c>
      <c r="C99" s="7" t="s">
        <v>22</v>
      </c>
      <c r="D99" s="7" t="s">
        <v>18</v>
      </c>
      <c r="E99" s="7">
        <v>2900</v>
      </c>
      <c r="F99" s="7">
        <v>49</v>
      </c>
      <c r="G99" s="8">
        <f t="shared" si="1"/>
        <v>142100</v>
      </c>
    </row>
    <row r="100" spans="1:7" ht="15.5">
      <c r="A100" s="3">
        <v>44223</v>
      </c>
      <c r="B100" s="4" t="s">
        <v>19</v>
      </c>
      <c r="C100" s="4" t="s">
        <v>20</v>
      </c>
      <c r="D100" s="4" t="s">
        <v>21</v>
      </c>
      <c r="E100" s="4">
        <v>700</v>
      </c>
      <c r="F100" s="4">
        <v>50</v>
      </c>
      <c r="G100" s="5">
        <f t="shared" si="1"/>
        <v>35000</v>
      </c>
    </row>
    <row r="101" spans="1:7" ht="15.5">
      <c r="A101" s="6">
        <v>44227</v>
      </c>
      <c r="B101" s="7" t="s">
        <v>15</v>
      </c>
      <c r="C101" s="7" t="s">
        <v>17</v>
      </c>
      <c r="D101" s="7" t="s">
        <v>18</v>
      </c>
      <c r="E101" s="7">
        <v>200</v>
      </c>
      <c r="F101" s="7">
        <v>41</v>
      </c>
      <c r="G101" s="8">
        <f t="shared" si="1"/>
        <v>8200</v>
      </c>
    </row>
    <row r="102" spans="1:7" ht="15.5">
      <c r="A102" s="3">
        <v>44231</v>
      </c>
      <c r="B102" s="4" t="s">
        <v>12</v>
      </c>
      <c r="C102" s="4" t="s">
        <v>16</v>
      </c>
      <c r="D102" s="4" t="s">
        <v>11</v>
      </c>
      <c r="E102" s="4">
        <v>49000</v>
      </c>
      <c r="F102" s="4">
        <v>29</v>
      </c>
      <c r="G102" s="5">
        <f t="shared" si="1"/>
        <v>1421000</v>
      </c>
    </row>
    <row r="103" spans="1:7" ht="15.5">
      <c r="A103" s="6">
        <v>44235</v>
      </c>
      <c r="B103" s="7" t="s">
        <v>7</v>
      </c>
      <c r="C103" s="7" t="s">
        <v>8</v>
      </c>
      <c r="D103" s="7" t="s">
        <v>21</v>
      </c>
      <c r="E103" s="7">
        <v>5599</v>
      </c>
      <c r="F103" s="7">
        <v>36</v>
      </c>
      <c r="G103" s="8">
        <f t="shared" si="1"/>
        <v>201564</v>
      </c>
    </row>
    <row r="104" spans="1:7" ht="15.5">
      <c r="A104" s="3">
        <v>44239</v>
      </c>
      <c r="B104" s="4" t="s">
        <v>15</v>
      </c>
      <c r="C104" s="4" t="s">
        <v>17</v>
      </c>
      <c r="D104" s="4" t="s">
        <v>18</v>
      </c>
      <c r="E104" s="4">
        <v>13500</v>
      </c>
      <c r="F104" s="4">
        <v>39</v>
      </c>
      <c r="G104" s="5">
        <f t="shared" si="1"/>
        <v>526500</v>
      </c>
    </row>
    <row r="105" spans="1:7" ht="15.5">
      <c r="A105" s="6">
        <v>44243</v>
      </c>
      <c r="B105" s="7" t="s">
        <v>12</v>
      </c>
      <c r="C105" s="7" t="s">
        <v>20</v>
      </c>
      <c r="D105" s="7" t="s">
        <v>18</v>
      </c>
      <c r="E105" s="7">
        <v>79999</v>
      </c>
      <c r="F105" s="7">
        <v>9</v>
      </c>
      <c r="G105" s="8">
        <f t="shared" si="1"/>
        <v>719991</v>
      </c>
    </row>
    <row r="106" spans="1:7" ht="15.5">
      <c r="A106" s="3">
        <v>44247</v>
      </c>
      <c r="B106" s="4" t="s">
        <v>19</v>
      </c>
      <c r="C106" s="4" t="s">
        <v>16</v>
      </c>
      <c r="D106" s="4" t="s">
        <v>14</v>
      </c>
      <c r="E106" s="4">
        <v>75200</v>
      </c>
      <c r="F106" s="4">
        <v>38</v>
      </c>
      <c r="G106" s="5">
        <f t="shared" si="1"/>
        <v>2857600</v>
      </c>
    </row>
    <row r="107" spans="1:7" ht="15.5">
      <c r="A107" s="6">
        <v>44251</v>
      </c>
      <c r="B107" s="7" t="s">
        <v>19</v>
      </c>
      <c r="C107" s="7" t="s">
        <v>13</v>
      </c>
      <c r="D107" s="7" t="s">
        <v>9</v>
      </c>
      <c r="E107" s="7">
        <v>550</v>
      </c>
      <c r="F107" s="7">
        <v>25</v>
      </c>
      <c r="G107" s="8">
        <f t="shared" si="1"/>
        <v>13750</v>
      </c>
    </row>
    <row r="108" spans="1:7" ht="15.5">
      <c r="A108" s="3">
        <v>44255</v>
      </c>
      <c r="B108" s="4" t="s">
        <v>7</v>
      </c>
      <c r="C108" s="4" t="s">
        <v>8</v>
      </c>
      <c r="D108" s="4" t="s">
        <v>9</v>
      </c>
      <c r="E108" s="4">
        <v>499</v>
      </c>
      <c r="F108" s="4">
        <v>50</v>
      </c>
      <c r="G108" s="5">
        <f t="shared" si="1"/>
        <v>24950</v>
      </c>
    </row>
    <row r="109" spans="1:7" ht="15.5">
      <c r="A109" s="6">
        <v>44259</v>
      </c>
      <c r="B109" s="7" t="s">
        <v>7</v>
      </c>
      <c r="C109" s="7" t="s">
        <v>8</v>
      </c>
      <c r="D109" s="7" t="s">
        <v>11</v>
      </c>
      <c r="E109" s="7">
        <v>5599</v>
      </c>
      <c r="F109" s="7">
        <v>33</v>
      </c>
      <c r="G109" s="8">
        <f t="shared" si="1"/>
        <v>184767</v>
      </c>
    </row>
    <row r="110" spans="1:7" ht="15.5">
      <c r="A110" s="3">
        <v>44263</v>
      </c>
      <c r="B110" s="4" t="s">
        <v>12</v>
      </c>
      <c r="C110" s="4" t="s">
        <v>13</v>
      </c>
      <c r="D110" s="4" t="s">
        <v>14</v>
      </c>
      <c r="E110" s="4">
        <v>1450</v>
      </c>
      <c r="F110" s="4">
        <v>44</v>
      </c>
      <c r="G110" s="5">
        <f t="shared" si="1"/>
        <v>63800</v>
      </c>
    </row>
    <row r="111" spans="1:7" ht="15.5">
      <c r="A111" s="6">
        <v>44267</v>
      </c>
      <c r="B111" s="7" t="s">
        <v>15</v>
      </c>
      <c r="C111" s="7" t="s">
        <v>17</v>
      </c>
      <c r="D111" s="7" t="s">
        <v>9</v>
      </c>
      <c r="E111" s="7">
        <v>999</v>
      </c>
      <c r="F111" s="7">
        <v>31</v>
      </c>
      <c r="G111" s="8">
        <f t="shared" si="1"/>
        <v>30969</v>
      </c>
    </row>
    <row r="112" spans="1:7" ht="15.5">
      <c r="A112" s="3">
        <v>44271</v>
      </c>
      <c r="B112" s="4" t="s">
        <v>15</v>
      </c>
      <c r="C112" s="4" t="s">
        <v>17</v>
      </c>
      <c r="D112" s="4" t="s">
        <v>18</v>
      </c>
      <c r="E112" s="4">
        <v>100</v>
      </c>
      <c r="F112" s="4">
        <v>11</v>
      </c>
      <c r="G112" s="5">
        <f t="shared" si="1"/>
        <v>1100</v>
      </c>
    </row>
    <row r="113" spans="1:7" ht="15.5">
      <c r="A113" s="6">
        <v>44275</v>
      </c>
      <c r="B113" s="7" t="s">
        <v>12</v>
      </c>
      <c r="C113" s="7" t="s">
        <v>8</v>
      </c>
      <c r="D113" s="7" t="s">
        <v>18</v>
      </c>
      <c r="E113" s="7">
        <v>2550</v>
      </c>
      <c r="F113" s="7">
        <v>48</v>
      </c>
      <c r="G113" s="8">
        <f t="shared" si="1"/>
        <v>122400</v>
      </c>
    </row>
    <row r="114" spans="1:7" ht="15.5">
      <c r="A114" s="3">
        <v>44279</v>
      </c>
      <c r="B114" s="4" t="s">
        <v>19</v>
      </c>
      <c r="C114" s="4" t="s">
        <v>20</v>
      </c>
      <c r="D114" s="4" t="s">
        <v>18</v>
      </c>
      <c r="E114" s="4">
        <v>33000</v>
      </c>
      <c r="F114" s="4">
        <v>26</v>
      </c>
      <c r="G114" s="5">
        <f t="shared" si="1"/>
        <v>858000</v>
      </c>
    </row>
    <row r="115" spans="1:7" ht="15.5">
      <c r="A115" s="6">
        <v>44283</v>
      </c>
      <c r="B115" s="7" t="s">
        <v>10</v>
      </c>
      <c r="C115" s="7" t="s">
        <v>8</v>
      </c>
      <c r="D115" s="7" t="s">
        <v>14</v>
      </c>
      <c r="E115" s="7">
        <v>800</v>
      </c>
      <c r="F115" s="7">
        <v>39</v>
      </c>
      <c r="G115" s="8">
        <f t="shared" si="1"/>
        <v>31200</v>
      </c>
    </row>
    <row r="116" spans="1:7" ht="15.5">
      <c r="A116" s="3">
        <v>44287</v>
      </c>
      <c r="B116" s="4" t="s">
        <v>23</v>
      </c>
      <c r="C116" s="4" t="s">
        <v>22</v>
      </c>
      <c r="D116" s="4" t="s">
        <v>14</v>
      </c>
      <c r="E116" s="4">
        <v>990</v>
      </c>
      <c r="F116" s="4">
        <v>9</v>
      </c>
      <c r="G116" s="5">
        <f t="shared" si="1"/>
        <v>8910</v>
      </c>
    </row>
    <row r="117" spans="1:7" ht="15.5">
      <c r="A117" s="6">
        <v>44291</v>
      </c>
      <c r="B117" s="7" t="s">
        <v>7</v>
      </c>
      <c r="C117" s="7" t="s">
        <v>8</v>
      </c>
      <c r="D117" s="7" t="s">
        <v>9</v>
      </c>
      <c r="E117" s="7">
        <v>5599</v>
      </c>
      <c r="F117" s="7">
        <v>41</v>
      </c>
      <c r="G117" s="8">
        <f t="shared" si="1"/>
        <v>229559</v>
      </c>
    </row>
    <row r="118" spans="1:7" ht="15.5">
      <c r="A118" s="3">
        <v>44295</v>
      </c>
      <c r="B118" s="4" t="s">
        <v>19</v>
      </c>
      <c r="C118" s="4" t="s">
        <v>20</v>
      </c>
      <c r="D118" s="4" t="s">
        <v>9</v>
      </c>
      <c r="E118" s="4">
        <v>499</v>
      </c>
      <c r="F118" s="4">
        <v>39</v>
      </c>
      <c r="G118" s="5">
        <f t="shared" si="1"/>
        <v>19461</v>
      </c>
    </row>
    <row r="119" spans="1:7" ht="15.5">
      <c r="A119" s="6">
        <v>44299</v>
      </c>
      <c r="B119" s="7" t="s">
        <v>23</v>
      </c>
      <c r="C119" s="7" t="s">
        <v>22</v>
      </c>
      <c r="D119" s="7" t="s">
        <v>9</v>
      </c>
      <c r="E119" s="7">
        <v>1999</v>
      </c>
      <c r="F119" s="7">
        <v>4</v>
      </c>
      <c r="G119" s="8">
        <f t="shared" si="1"/>
        <v>7996</v>
      </c>
    </row>
    <row r="120" spans="1:7" ht="15.5">
      <c r="A120" s="3">
        <v>44303</v>
      </c>
      <c r="B120" s="4" t="s">
        <v>12</v>
      </c>
      <c r="C120" s="4" t="s">
        <v>17</v>
      </c>
      <c r="D120" s="4" t="s">
        <v>9</v>
      </c>
      <c r="E120" s="4">
        <v>200</v>
      </c>
      <c r="F120" s="4">
        <v>8</v>
      </c>
      <c r="G120" s="5">
        <f t="shared" si="1"/>
        <v>1600</v>
      </c>
    </row>
    <row r="121" spans="1:7" ht="15.5">
      <c r="A121" s="6">
        <v>44307</v>
      </c>
      <c r="B121" s="7" t="s">
        <v>23</v>
      </c>
      <c r="C121" s="7" t="s">
        <v>22</v>
      </c>
      <c r="D121" s="7" t="s">
        <v>14</v>
      </c>
      <c r="E121" s="7">
        <v>1499</v>
      </c>
      <c r="F121" s="7">
        <v>27</v>
      </c>
      <c r="G121" s="8">
        <f t="shared" si="1"/>
        <v>40473</v>
      </c>
    </row>
    <row r="122" spans="1:7" ht="15.5">
      <c r="A122" s="3">
        <v>44311</v>
      </c>
      <c r="B122" s="4" t="s">
        <v>15</v>
      </c>
      <c r="C122" s="4" t="s">
        <v>17</v>
      </c>
      <c r="D122" s="4" t="s">
        <v>21</v>
      </c>
      <c r="E122" s="4">
        <v>120</v>
      </c>
      <c r="F122" s="4">
        <v>10</v>
      </c>
      <c r="G122" s="5">
        <f t="shared" si="1"/>
        <v>1200</v>
      </c>
    </row>
    <row r="123" spans="1:7" ht="15.5">
      <c r="A123" s="6">
        <v>44315</v>
      </c>
      <c r="B123" s="7" t="s">
        <v>10</v>
      </c>
      <c r="C123" s="7" t="s">
        <v>20</v>
      </c>
      <c r="D123" s="7" t="s">
        <v>21</v>
      </c>
      <c r="E123" s="7">
        <v>11999</v>
      </c>
      <c r="F123" s="7">
        <v>17</v>
      </c>
      <c r="G123" s="8">
        <f t="shared" si="1"/>
        <v>203983</v>
      </c>
    </row>
    <row r="124" spans="1:7" ht="15.5">
      <c r="A124" s="3">
        <v>44319</v>
      </c>
      <c r="B124" s="4" t="s">
        <v>10</v>
      </c>
      <c r="C124" s="4" t="s">
        <v>20</v>
      </c>
      <c r="D124" s="4" t="s">
        <v>11</v>
      </c>
      <c r="E124" s="4">
        <v>999</v>
      </c>
      <c r="F124" s="4">
        <v>27</v>
      </c>
      <c r="G124" s="5">
        <f t="shared" si="1"/>
        <v>26973</v>
      </c>
    </row>
    <row r="125" spans="1:7" ht="15.5">
      <c r="A125" s="6">
        <v>44323</v>
      </c>
      <c r="B125" s="7" t="s">
        <v>12</v>
      </c>
      <c r="C125" s="7" t="s">
        <v>20</v>
      </c>
      <c r="D125" s="7" t="s">
        <v>14</v>
      </c>
      <c r="E125" s="7">
        <v>2999</v>
      </c>
      <c r="F125" s="7">
        <v>43</v>
      </c>
      <c r="G125" s="8">
        <f t="shared" si="1"/>
        <v>128957</v>
      </c>
    </row>
    <row r="126" spans="1:7" ht="15.5">
      <c r="A126" s="3">
        <v>44327</v>
      </c>
      <c r="B126" s="4" t="s">
        <v>15</v>
      </c>
      <c r="C126" s="4" t="s">
        <v>16</v>
      </c>
      <c r="D126" s="4" t="s">
        <v>11</v>
      </c>
      <c r="E126" s="4">
        <v>47800</v>
      </c>
      <c r="F126" s="4">
        <v>9</v>
      </c>
      <c r="G126" s="5">
        <f t="shared" si="1"/>
        <v>430200</v>
      </c>
    </row>
    <row r="127" spans="1:7" ht="15.5">
      <c r="A127" s="6">
        <v>44331</v>
      </c>
      <c r="B127" s="7" t="s">
        <v>19</v>
      </c>
      <c r="C127" s="7" t="s">
        <v>16</v>
      </c>
      <c r="D127" s="7" t="s">
        <v>9</v>
      </c>
      <c r="E127" s="7">
        <v>22000</v>
      </c>
      <c r="F127" s="7">
        <v>42</v>
      </c>
      <c r="G127" s="8">
        <f t="shared" si="1"/>
        <v>924000</v>
      </c>
    </row>
    <row r="128" spans="1:7" ht="15.5">
      <c r="A128" s="3">
        <v>44335</v>
      </c>
      <c r="B128" s="4" t="s">
        <v>19</v>
      </c>
      <c r="C128" s="4" t="s">
        <v>13</v>
      </c>
      <c r="D128" s="4" t="s">
        <v>11</v>
      </c>
      <c r="E128" s="4">
        <v>1250</v>
      </c>
      <c r="F128" s="4">
        <v>6</v>
      </c>
      <c r="G128" s="5">
        <f t="shared" si="1"/>
        <v>7500</v>
      </c>
    </row>
    <row r="129" spans="1:7" ht="15.5">
      <c r="A129" s="6">
        <v>44339</v>
      </c>
      <c r="B129" s="7" t="s">
        <v>15</v>
      </c>
      <c r="C129" s="7" t="s">
        <v>17</v>
      </c>
      <c r="D129" s="7" t="s">
        <v>14</v>
      </c>
      <c r="E129" s="7">
        <v>999</v>
      </c>
      <c r="F129" s="7">
        <v>28</v>
      </c>
      <c r="G129" s="8">
        <f t="shared" si="1"/>
        <v>27972</v>
      </c>
    </row>
    <row r="130" spans="1:7" ht="15.5">
      <c r="A130" s="3">
        <v>44343</v>
      </c>
      <c r="B130" s="4" t="s">
        <v>19</v>
      </c>
      <c r="C130" s="4" t="s">
        <v>13</v>
      </c>
      <c r="D130" s="4" t="s">
        <v>21</v>
      </c>
      <c r="E130" s="4">
        <v>1450</v>
      </c>
      <c r="F130" s="4">
        <v>13</v>
      </c>
      <c r="G130" s="5">
        <f t="shared" si="1"/>
        <v>18850</v>
      </c>
    </row>
    <row r="131" spans="1:7" ht="15.5">
      <c r="A131" s="6">
        <v>44347</v>
      </c>
      <c r="B131" s="7" t="s">
        <v>19</v>
      </c>
      <c r="C131" s="7" t="s">
        <v>13</v>
      </c>
      <c r="D131" s="7" t="s">
        <v>21</v>
      </c>
      <c r="E131" s="7">
        <v>23999</v>
      </c>
      <c r="F131" s="7">
        <v>8</v>
      </c>
      <c r="G131" s="8">
        <f t="shared" ref="G131:G194" si="2">E131*F131</f>
        <v>191992</v>
      </c>
    </row>
    <row r="132" spans="1:7" ht="15.5">
      <c r="A132" s="3">
        <v>44351</v>
      </c>
      <c r="B132" s="4" t="s">
        <v>10</v>
      </c>
      <c r="C132" s="4" t="s">
        <v>16</v>
      </c>
      <c r="D132" s="4" t="s">
        <v>21</v>
      </c>
      <c r="E132" s="4">
        <v>92000</v>
      </c>
      <c r="F132" s="4">
        <v>7</v>
      </c>
      <c r="G132" s="5">
        <f t="shared" si="2"/>
        <v>644000</v>
      </c>
    </row>
    <row r="133" spans="1:7" ht="15.5">
      <c r="A133" s="6">
        <v>44355</v>
      </c>
      <c r="B133" s="7" t="s">
        <v>23</v>
      </c>
      <c r="C133" s="7" t="s">
        <v>22</v>
      </c>
      <c r="D133" s="7" t="s">
        <v>14</v>
      </c>
      <c r="E133" s="7">
        <v>699</v>
      </c>
      <c r="F133" s="7">
        <v>45</v>
      </c>
      <c r="G133" s="8">
        <f t="shared" si="2"/>
        <v>31455</v>
      </c>
    </row>
    <row r="134" spans="1:7" ht="15.5">
      <c r="A134" s="3">
        <v>44359</v>
      </c>
      <c r="B134" s="4" t="s">
        <v>7</v>
      </c>
      <c r="C134" s="4" t="s">
        <v>8</v>
      </c>
      <c r="D134" s="4" t="s">
        <v>9</v>
      </c>
      <c r="E134" s="4">
        <v>2550</v>
      </c>
      <c r="F134" s="4">
        <v>22</v>
      </c>
      <c r="G134" s="5">
        <f t="shared" si="2"/>
        <v>56100</v>
      </c>
    </row>
    <row r="135" spans="1:7" ht="15.5">
      <c r="A135" s="6">
        <v>44363</v>
      </c>
      <c r="B135" s="7" t="s">
        <v>12</v>
      </c>
      <c r="C135" s="7" t="s">
        <v>20</v>
      </c>
      <c r="D135" s="7" t="s">
        <v>21</v>
      </c>
      <c r="E135" s="7">
        <v>22000</v>
      </c>
      <c r="F135" s="7">
        <v>4</v>
      </c>
      <c r="G135" s="8">
        <f t="shared" si="2"/>
        <v>88000</v>
      </c>
    </row>
    <row r="136" spans="1:7" ht="15.5">
      <c r="A136" s="3">
        <v>44367</v>
      </c>
      <c r="B136" s="4" t="s">
        <v>19</v>
      </c>
      <c r="C136" s="4" t="s">
        <v>20</v>
      </c>
      <c r="D136" s="4" t="s">
        <v>9</v>
      </c>
      <c r="E136" s="4">
        <v>22000</v>
      </c>
      <c r="F136" s="4">
        <v>10</v>
      </c>
      <c r="G136" s="5">
        <f t="shared" si="2"/>
        <v>220000</v>
      </c>
    </row>
    <row r="137" spans="1:7" ht="15.5">
      <c r="A137" s="6">
        <v>44371</v>
      </c>
      <c r="B137" s="7" t="s">
        <v>10</v>
      </c>
      <c r="C137" s="7" t="s">
        <v>22</v>
      </c>
      <c r="D137" s="7" t="s">
        <v>14</v>
      </c>
      <c r="E137" s="7">
        <v>1499</v>
      </c>
      <c r="F137" s="7">
        <v>16</v>
      </c>
      <c r="G137" s="8">
        <f t="shared" si="2"/>
        <v>23984</v>
      </c>
    </row>
    <row r="138" spans="1:7" ht="15.5">
      <c r="A138" s="3">
        <v>44375</v>
      </c>
      <c r="B138" s="4" t="s">
        <v>15</v>
      </c>
      <c r="C138" s="4" t="s">
        <v>17</v>
      </c>
      <c r="D138" s="4" t="s">
        <v>21</v>
      </c>
      <c r="E138" s="4">
        <v>120</v>
      </c>
      <c r="F138" s="4">
        <v>22</v>
      </c>
      <c r="G138" s="5">
        <f t="shared" si="2"/>
        <v>2640</v>
      </c>
    </row>
    <row r="139" spans="1:7" ht="15.5">
      <c r="A139" s="6">
        <v>44379</v>
      </c>
      <c r="B139" s="7" t="s">
        <v>7</v>
      </c>
      <c r="C139" s="7" t="s">
        <v>8</v>
      </c>
      <c r="D139" s="7" t="s">
        <v>11</v>
      </c>
      <c r="E139" s="7">
        <v>1450</v>
      </c>
      <c r="F139" s="7">
        <v>20</v>
      </c>
      <c r="G139" s="8">
        <f t="shared" si="2"/>
        <v>29000</v>
      </c>
    </row>
    <row r="140" spans="1:7" ht="15.5">
      <c r="A140" s="3">
        <v>44383</v>
      </c>
      <c r="B140" s="4" t="s">
        <v>23</v>
      </c>
      <c r="C140" s="4" t="s">
        <v>22</v>
      </c>
      <c r="D140" s="4" t="s">
        <v>14</v>
      </c>
      <c r="E140" s="4">
        <v>1999</v>
      </c>
      <c r="F140" s="4">
        <v>23</v>
      </c>
      <c r="G140" s="5">
        <f t="shared" si="2"/>
        <v>45977</v>
      </c>
    </row>
    <row r="141" spans="1:7" ht="15.5">
      <c r="A141" s="6">
        <v>44387</v>
      </c>
      <c r="B141" s="7" t="s">
        <v>10</v>
      </c>
      <c r="C141" s="7" t="s">
        <v>8</v>
      </c>
      <c r="D141" s="7" t="s">
        <v>24</v>
      </c>
      <c r="E141" s="7">
        <v>800</v>
      </c>
      <c r="F141" s="7">
        <v>43</v>
      </c>
      <c r="G141" s="8">
        <f t="shared" si="2"/>
        <v>34400</v>
      </c>
    </row>
    <row r="142" spans="1:7" ht="15.5">
      <c r="A142" s="3">
        <v>44391</v>
      </c>
      <c r="B142" s="4" t="s">
        <v>15</v>
      </c>
      <c r="C142" s="4" t="s">
        <v>17</v>
      </c>
      <c r="D142" s="4" t="s">
        <v>21</v>
      </c>
      <c r="E142" s="4">
        <v>100</v>
      </c>
      <c r="F142" s="4">
        <v>41</v>
      </c>
      <c r="G142" s="5">
        <f t="shared" si="2"/>
        <v>4100</v>
      </c>
    </row>
    <row r="143" spans="1:7" ht="15.5">
      <c r="A143" s="6">
        <v>44395</v>
      </c>
      <c r="B143" s="7" t="s">
        <v>7</v>
      </c>
      <c r="C143" s="7" t="s">
        <v>16</v>
      </c>
      <c r="D143" s="7" t="s">
        <v>21</v>
      </c>
      <c r="E143" s="7">
        <v>13999</v>
      </c>
      <c r="F143" s="7">
        <v>37</v>
      </c>
      <c r="G143" s="8">
        <f t="shared" si="2"/>
        <v>517963</v>
      </c>
    </row>
    <row r="144" spans="1:7" ht="15.5">
      <c r="A144" s="3">
        <v>44399</v>
      </c>
      <c r="B144" s="4" t="s">
        <v>12</v>
      </c>
      <c r="C144" s="4" t="s">
        <v>20</v>
      </c>
      <c r="D144" s="4" t="s">
        <v>18</v>
      </c>
      <c r="E144" s="4">
        <v>22000</v>
      </c>
      <c r="F144" s="4">
        <v>45</v>
      </c>
      <c r="G144" s="5">
        <f t="shared" si="2"/>
        <v>990000</v>
      </c>
    </row>
    <row r="145" spans="1:7" ht="15.5">
      <c r="A145" s="6">
        <v>44403</v>
      </c>
      <c r="B145" s="7" t="s">
        <v>19</v>
      </c>
      <c r="C145" s="7" t="s">
        <v>20</v>
      </c>
      <c r="D145" s="7" t="s">
        <v>24</v>
      </c>
      <c r="E145" s="7">
        <v>89999</v>
      </c>
      <c r="F145" s="7">
        <v>15</v>
      </c>
      <c r="G145" s="8">
        <f t="shared" si="2"/>
        <v>1349985</v>
      </c>
    </row>
    <row r="146" spans="1:7" ht="15.5">
      <c r="A146" s="3">
        <v>44407</v>
      </c>
      <c r="B146" s="4" t="s">
        <v>7</v>
      </c>
      <c r="C146" s="4" t="s">
        <v>8</v>
      </c>
      <c r="D146" s="4" t="s">
        <v>18</v>
      </c>
      <c r="E146" s="4">
        <v>13999</v>
      </c>
      <c r="F146" s="4">
        <v>22</v>
      </c>
      <c r="G146" s="5">
        <f t="shared" si="2"/>
        <v>307978</v>
      </c>
    </row>
    <row r="147" spans="1:7" ht="15.5">
      <c r="A147" s="6">
        <v>44411</v>
      </c>
      <c r="B147" s="7" t="s">
        <v>10</v>
      </c>
      <c r="C147" s="7" t="s">
        <v>22</v>
      </c>
      <c r="D147" s="7" t="s">
        <v>14</v>
      </c>
      <c r="E147" s="7">
        <v>2900</v>
      </c>
      <c r="F147" s="7">
        <v>20</v>
      </c>
      <c r="G147" s="8">
        <f t="shared" si="2"/>
        <v>58000</v>
      </c>
    </row>
    <row r="148" spans="1:7" ht="15.5">
      <c r="A148" s="3">
        <v>44415</v>
      </c>
      <c r="B148" s="4" t="s">
        <v>19</v>
      </c>
      <c r="C148" s="4" t="s">
        <v>20</v>
      </c>
      <c r="D148" s="4" t="s">
        <v>18</v>
      </c>
      <c r="E148" s="4">
        <v>33000</v>
      </c>
      <c r="F148" s="4">
        <v>16</v>
      </c>
      <c r="G148" s="5">
        <f t="shared" si="2"/>
        <v>528000</v>
      </c>
    </row>
    <row r="149" spans="1:7" ht="15.5">
      <c r="A149" s="6">
        <v>44419</v>
      </c>
      <c r="B149" s="7" t="s">
        <v>10</v>
      </c>
      <c r="C149" s="7" t="s">
        <v>20</v>
      </c>
      <c r="D149" s="7" t="s">
        <v>11</v>
      </c>
      <c r="E149" s="7">
        <v>22000</v>
      </c>
      <c r="F149" s="7">
        <v>17</v>
      </c>
      <c r="G149" s="8">
        <f t="shared" si="2"/>
        <v>374000</v>
      </c>
    </row>
    <row r="150" spans="1:7" ht="15.5">
      <c r="A150" s="3">
        <v>44423</v>
      </c>
      <c r="B150" s="4" t="s">
        <v>10</v>
      </c>
      <c r="C150" s="4" t="s">
        <v>22</v>
      </c>
      <c r="D150" s="4" t="s">
        <v>11</v>
      </c>
      <c r="E150" s="4">
        <v>45000</v>
      </c>
      <c r="F150" s="4">
        <v>50</v>
      </c>
      <c r="G150" s="5">
        <f t="shared" si="2"/>
        <v>2250000</v>
      </c>
    </row>
    <row r="151" spans="1:7" ht="15.5">
      <c r="A151" s="6">
        <v>44427</v>
      </c>
      <c r="B151" s="7" t="s">
        <v>19</v>
      </c>
      <c r="C151" s="7" t="s">
        <v>16</v>
      </c>
      <c r="D151" s="7" t="s">
        <v>14</v>
      </c>
      <c r="E151" s="7">
        <v>499</v>
      </c>
      <c r="F151" s="7">
        <v>4</v>
      </c>
      <c r="G151" s="8">
        <f t="shared" si="2"/>
        <v>1996</v>
      </c>
    </row>
    <row r="152" spans="1:7" ht="15.5">
      <c r="A152" s="3">
        <v>44431</v>
      </c>
      <c r="B152" s="4" t="s">
        <v>23</v>
      </c>
      <c r="C152" s="4" t="s">
        <v>22</v>
      </c>
      <c r="D152" s="4" t="s">
        <v>18</v>
      </c>
      <c r="E152" s="4">
        <v>590</v>
      </c>
      <c r="F152" s="4">
        <v>43</v>
      </c>
      <c r="G152" s="5">
        <f t="shared" si="2"/>
        <v>25370</v>
      </c>
    </row>
    <row r="153" spans="1:7" ht="15.5">
      <c r="A153" s="6">
        <v>44435</v>
      </c>
      <c r="B153" s="7" t="s">
        <v>12</v>
      </c>
      <c r="C153" s="7" t="s">
        <v>22</v>
      </c>
      <c r="D153" s="7" t="s">
        <v>11</v>
      </c>
      <c r="E153" s="7">
        <v>590</v>
      </c>
      <c r="F153" s="7">
        <v>42</v>
      </c>
      <c r="G153" s="8">
        <f t="shared" si="2"/>
        <v>24780</v>
      </c>
    </row>
    <row r="154" spans="1:7" ht="15.5">
      <c r="A154" s="3">
        <v>44439</v>
      </c>
      <c r="B154" s="4" t="s">
        <v>15</v>
      </c>
      <c r="C154" s="4" t="s">
        <v>17</v>
      </c>
      <c r="D154" s="4" t="s">
        <v>9</v>
      </c>
      <c r="E154" s="4">
        <v>12000</v>
      </c>
      <c r="F154" s="4">
        <v>9</v>
      </c>
      <c r="G154" s="5">
        <f t="shared" si="2"/>
        <v>108000</v>
      </c>
    </row>
    <row r="155" spans="1:7" ht="15.5">
      <c r="A155" s="6">
        <v>44443</v>
      </c>
      <c r="B155" s="7" t="s">
        <v>19</v>
      </c>
      <c r="C155" s="7" t="s">
        <v>20</v>
      </c>
      <c r="D155" s="7" t="s">
        <v>24</v>
      </c>
      <c r="E155" s="7">
        <v>52000</v>
      </c>
      <c r="F155" s="7">
        <v>40</v>
      </c>
      <c r="G155" s="8">
        <f t="shared" si="2"/>
        <v>2080000</v>
      </c>
    </row>
    <row r="156" spans="1:7" ht="15.5">
      <c r="A156" s="3">
        <v>44447</v>
      </c>
      <c r="B156" s="4" t="s">
        <v>19</v>
      </c>
      <c r="C156" s="4" t="s">
        <v>13</v>
      </c>
      <c r="D156" s="4" t="s">
        <v>18</v>
      </c>
      <c r="E156" s="4">
        <v>7999</v>
      </c>
      <c r="F156" s="4">
        <v>14</v>
      </c>
      <c r="G156" s="5">
        <f t="shared" si="2"/>
        <v>111986</v>
      </c>
    </row>
    <row r="157" spans="1:7" ht="15.5">
      <c r="A157" s="6">
        <v>44451</v>
      </c>
      <c r="B157" s="7" t="s">
        <v>10</v>
      </c>
      <c r="C157" s="7" t="s">
        <v>13</v>
      </c>
      <c r="D157" s="7" t="s">
        <v>21</v>
      </c>
      <c r="E157" s="7">
        <v>5000</v>
      </c>
      <c r="F157" s="7">
        <v>9</v>
      </c>
      <c r="G157" s="8">
        <f t="shared" si="2"/>
        <v>45000</v>
      </c>
    </row>
    <row r="158" spans="1:7" ht="15.5">
      <c r="A158" s="3">
        <v>44455</v>
      </c>
      <c r="B158" s="4" t="s">
        <v>19</v>
      </c>
      <c r="C158" s="4" t="s">
        <v>20</v>
      </c>
      <c r="D158" s="4" t="s">
        <v>18</v>
      </c>
      <c r="E158" s="4">
        <v>79999</v>
      </c>
      <c r="F158" s="4">
        <v>10</v>
      </c>
      <c r="G158" s="5">
        <f t="shared" si="2"/>
        <v>799990</v>
      </c>
    </row>
    <row r="159" spans="1:7" ht="15.5">
      <c r="A159" s="6">
        <v>44459</v>
      </c>
      <c r="B159" s="7" t="s">
        <v>23</v>
      </c>
      <c r="C159" s="7" t="s">
        <v>16</v>
      </c>
      <c r="D159" s="7" t="s">
        <v>14</v>
      </c>
      <c r="E159" s="7">
        <v>1999</v>
      </c>
      <c r="F159" s="7">
        <v>37</v>
      </c>
      <c r="G159" s="8">
        <f t="shared" si="2"/>
        <v>73963</v>
      </c>
    </row>
    <row r="160" spans="1:7" ht="15.5">
      <c r="A160" s="3">
        <v>44463</v>
      </c>
      <c r="B160" s="4" t="s">
        <v>19</v>
      </c>
      <c r="C160" s="4" t="s">
        <v>20</v>
      </c>
      <c r="D160" s="4" t="s">
        <v>18</v>
      </c>
      <c r="E160" s="4">
        <v>89999</v>
      </c>
      <c r="F160" s="4">
        <v>29</v>
      </c>
      <c r="G160" s="5">
        <f t="shared" si="2"/>
        <v>2609971</v>
      </c>
    </row>
    <row r="161" spans="1:7" ht="15.5">
      <c r="A161" s="6">
        <v>44467</v>
      </c>
      <c r="B161" s="7" t="s">
        <v>12</v>
      </c>
      <c r="C161" s="7" t="s">
        <v>20</v>
      </c>
      <c r="D161" s="7" t="s">
        <v>9</v>
      </c>
      <c r="E161" s="7">
        <v>799</v>
      </c>
      <c r="F161" s="7">
        <v>44</v>
      </c>
      <c r="G161" s="8">
        <f t="shared" si="2"/>
        <v>35156</v>
      </c>
    </row>
    <row r="162" spans="1:7" ht="15.5">
      <c r="A162" s="3">
        <v>44471</v>
      </c>
      <c r="B162" s="4" t="s">
        <v>19</v>
      </c>
      <c r="C162" s="4" t="s">
        <v>20</v>
      </c>
      <c r="D162" s="4" t="s">
        <v>11</v>
      </c>
      <c r="E162" s="4">
        <v>3990</v>
      </c>
      <c r="F162" s="4">
        <v>31</v>
      </c>
      <c r="G162" s="5">
        <f t="shared" si="2"/>
        <v>123690</v>
      </c>
    </row>
    <row r="163" spans="1:7" ht="15.5">
      <c r="A163" s="6">
        <v>44475</v>
      </c>
      <c r="B163" s="7" t="s">
        <v>10</v>
      </c>
      <c r="C163" s="7" t="s">
        <v>20</v>
      </c>
      <c r="D163" s="7" t="s">
        <v>14</v>
      </c>
      <c r="E163" s="7">
        <v>52000</v>
      </c>
      <c r="F163" s="7">
        <v>29</v>
      </c>
      <c r="G163" s="8">
        <f t="shared" si="2"/>
        <v>1508000</v>
      </c>
    </row>
    <row r="164" spans="1:7" ht="15.5">
      <c r="A164" s="3">
        <v>44479</v>
      </c>
      <c r="B164" s="4" t="s">
        <v>10</v>
      </c>
      <c r="C164" s="4" t="s">
        <v>8</v>
      </c>
      <c r="D164" s="4" t="s">
        <v>18</v>
      </c>
      <c r="E164" s="4">
        <v>13999</v>
      </c>
      <c r="F164" s="4">
        <v>34</v>
      </c>
      <c r="G164" s="5">
        <f t="shared" si="2"/>
        <v>475966</v>
      </c>
    </row>
    <row r="165" spans="1:7" ht="15.5">
      <c r="A165" s="6">
        <v>44483</v>
      </c>
      <c r="B165" s="7" t="s">
        <v>15</v>
      </c>
      <c r="C165" s="7" t="s">
        <v>17</v>
      </c>
      <c r="D165" s="7" t="s">
        <v>14</v>
      </c>
      <c r="E165" s="7">
        <v>14500</v>
      </c>
      <c r="F165" s="7">
        <v>29</v>
      </c>
      <c r="G165" s="8">
        <f t="shared" si="2"/>
        <v>420500</v>
      </c>
    </row>
    <row r="166" spans="1:7" ht="15.5">
      <c r="A166" s="3">
        <v>44487</v>
      </c>
      <c r="B166" s="4" t="s">
        <v>19</v>
      </c>
      <c r="C166" s="4" t="s">
        <v>13</v>
      </c>
      <c r="D166" s="4" t="s">
        <v>24</v>
      </c>
      <c r="E166" s="4">
        <v>23999</v>
      </c>
      <c r="F166" s="4">
        <v>25</v>
      </c>
      <c r="G166" s="5">
        <f t="shared" si="2"/>
        <v>599975</v>
      </c>
    </row>
    <row r="167" spans="1:7" ht="15.5">
      <c r="A167" s="6">
        <v>44491</v>
      </c>
      <c r="B167" s="7" t="s">
        <v>19</v>
      </c>
      <c r="C167" s="7" t="s">
        <v>13</v>
      </c>
      <c r="D167" s="7" t="s">
        <v>18</v>
      </c>
      <c r="E167" s="7">
        <v>1250</v>
      </c>
      <c r="F167" s="7">
        <v>31</v>
      </c>
      <c r="G167" s="8">
        <f t="shared" si="2"/>
        <v>38750</v>
      </c>
    </row>
    <row r="168" spans="1:7" ht="15.5">
      <c r="A168" s="3">
        <v>44495</v>
      </c>
      <c r="B168" s="4" t="s">
        <v>23</v>
      </c>
      <c r="C168" s="4" t="s">
        <v>16</v>
      </c>
      <c r="D168" s="4" t="s">
        <v>18</v>
      </c>
      <c r="E168" s="4">
        <v>35600</v>
      </c>
      <c r="F168" s="4">
        <v>16</v>
      </c>
      <c r="G168" s="5">
        <f t="shared" si="2"/>
        <v>569600</v>
      </c>
    </row>
    <row r="169" spans="1:7" ht="15.5">
      <c r="A169" s="6">
        <v>44499</v>
      </c>
      <c r="B169" s="7" t="s">
        <v>15</v>
      </c>
      <c r="C169" s="7" t="s">
        <v>17</v>
      </c>
      <c r="D169" s="7" t="s">
        <v>18</v>
      </c>
      <c r="E169" s="7">
        <v>65000</v>
      </c>
      <c r="F169" s="7">
        <v>48</v>
      </c>
      <c r="G169" s="8">
        <f t="shared" si="2"/>
        <v>3120000</v>
      </c>
    </row>
    <row r="170" spans="1:7" ht="15.5">
      <c r="A170" s="3">
        <v>44503</v>
      </c>
      <c r="B170" s="4" t="s">
        <v>12</v>
      </c>
      <c r="C170" s="4" t="s">
        <v>17</v>
      </c>
      <c r="D170" s="4" t="s">
        <v>24</v>
      </c>
      <c r="E170" s="4">
        <v>12000</v>
      </c>
      <c r="F170" s="4">
        <v>22</v>
      </c>
      <c r="G170" s="5">
        <f t="shared" si="2"/>
        <v>264000</v>
      </c>
    </row>
    <row r="171" spans="1:7" ht="15.5">
      <c r="A171" s="6">
        <v>44507</v>
      </c>
      <c r="B171" s="7" t="s">
        <v>23</v>
      </c>
      <c r="C171" s="7" t="s">
        <v>22</v>
      </c>
      <c r="D171" s="7" t="s">
        <v>18</v>
      </c>
      <c r="E171" s="7">
        <v>699</v>
      </c>
      <c r="F171" s="7">
        <v>6</v>
      </c>
      <c r="G171" s="8">
        <f t="shared" si="2"/>
        <v>4194</v>
      </c>
    </row>
    <row r="172" spans="1:7" ht="15.5">
      <c r="A172" s="3">
        <v>44511</v>
      </c>
      <c r="B172" s="4" t="s">
        <v>23</v>
      </c>
      <c r="C172" s="4" t="s">
        <v>16</v>
      </c>
      <c r="D172" s="4" t="s">
        <v>14</v>
      </c>
      <c r="E172" s="4">
        <v>990</v>
      </c>
      <c r="F172" s="4">
        <v>12</v>
      </c>
      <c r="G172" s="5">
        <f t="shared" si="2"/>
        <v>11880</v>
      </c>
    </row>
    <row r="173" spans="1:7" ht="15.5">
      <c r="A173" s="6">
        <v>44515</v>
      </c>
      <c r="B173" s="7" t="s">
        <v>23</v>
      </c>
      <c r="C173" s="7" t="s">
        <v>22</v>
      </c>
      <c r="D173" s="7" t="s">
        <v>9</v>
      </c>
      <c r="E173" s="7">
        <v>450</v>
      </c>
      <c r="F173" s="7">
        <v>44</v>
      </c>
      <c r="G173" s="8">
        <f t="shared" si="2"/>
        <v>19800</v>
      </c>
    </row>
    <row r="174" spans="1:7" ht="15.5">
      <c r="A174" s="3">
        <v>44519</v>
      </c>
      <c r="B174" s="4" t="s">
        <v>23</v>
      </c>
      <c r="C174" s="4" t="s">
        <v>16</v>
      </c>
      <c r="D174" s="4" t="s">
        <v>9</v>
      </c>
      <c r="E174" s="4">
        <v>1499</v>
      </c>
      <c r="F174" s="4">
        <v>15</v>
      </c>
      <c r="G174" s="5">
        <f t="shared" si="2"/>
        <v>22485</v>
      </c>
    </row>
    <row r="175" spans="1:7" ht="15.5">
      <c r="A175" s="6">
        <v>44523</v>
      </c>
      <c r="B175" s="7" t="s">
        <v>7</v>
      </c>
      <c r="C175" s="7" t="s">
        <v>8</v>
      </c>
      <c r="D175" s="7" t="s">
        <v>21</v>
      </c>
      <c r="E175" s="7">
        <v>499</v>
      </c>
      <c r="F175" s="7">
        <v>26</v>
      </c>
      <c r="G175" s="8">
        <f t="shared" si="2"/>
        <v>12974</v>
      </c>
    </row>
    <row r="176" spans="1:7" ht="15.5">
      <c r="A176" s="3">
        <v>44527</v>
      </c>
      <c r="B176" s="4" t="s">
        <v>19</v>
      </c>
      <c r="C176" s="4" t="s">
        <v>13</v>
      </c>
      <c r="D176" s="4" t="s">
        <v>21</v>
      </c>
      <c r="E176" s="4">
        <v>960</v>
      </c>
      <c r="F176" s="4">
        <v>16</v>
      </c>
      <c r="G176" s="5">
        <f t="shared" si="2"/>
        <v>15360</v>
      </c>
    </row>
    <row r="177" spans="1:7" ht="15.5">
      <c r="A177" s="6">
        <v>44531</v>
      </c>
      <c r="B177" s="7" t="s">
        <v>12</v>
      </c>
      <c r="C177" s="7" t="s">
        <v>16</v>
      </c>
      <c r="D177" s="7" t="s">
        <v>18</v>
      </c>
      <c r="E177" s="7">
        <v>5599</v>
      </c>
      <c r="F177" s="7">
        <v>35</v>
      </c>
      <c r="G177" s="8">
        <f t="shared" si="2"/>
        <v>195965</v>
      </c>
    </row>
    <row r="178" spans="1:7" ht="15.5">
      <c r="A178" s="3">
        <v>44535</v>
      </c>
      <c r="B178" s="4" t="s">
        <v>15</v>
      </c>
      <c r="C178" s="4" t="s">
        <v>17</v>
      </c>
      <c r="D178" s="4" t="s">
        <v>9</v>
      </c>
      <c r="E178" s="4">
        <v>89</v>
      </c>
      <c r="F178" s="4">
        <v>36</v>
      </c>
      <c r="G178" s="5">
        <f t="shared" si="2"/>
        <v>3204</v>
      </c>
    </row>
    <row r="179" spans="1:7" ht="15.5">
      <c r="A179" s="6">
        <v>44539</v>
      </c>
      <c r="B179" s="7" t="s">
        <v>7</v>
      </c>
      <c r="C179" s="7" t="s">
        <v>8</v>
      </c>
      <c r="D179" s="7" t="s">
        <v>14</v>
      </c>
      <c r="E179" s="7">
        <v>2550</v>
      </c>
      <c r="F179" s="7">
        <v>20</v>
      </c>
      <c r="G179" s="8">
        <f t="shared" si="2"/>
        <v>51000</v>
      </c>
    </row>
    <row r="180" spans="1:7" ht="15.5">
      <c r="A180" s="3">
        <v>44543</v>
      </c>
      <c r="B180" s="4" t="s">
        <v>7</v>
      </c>
      <c r="C180" s="4" t="s">
        <v>8</v>
      </c>
      <c r="D180" s="4" t="s">
        <v>9</v>
      </c>
      <c r="E180" s="4">
        <v>1450</v>
      </c>
      <c r="F180" s="4">
        <v>47</v>
      </c>
      <c r="G180" s="5">
        <f t="shared" si="2"/>
        <v>68150</v>
      </c>
    </row>
    <row r="181" spans="1:7" ht="15.5">
      <c r="A181" s="6">
        <v>44547</v>
      </c>
      <c r="B181" s="7" t="s">
        <v>23</v>
      </c>
      <c r="C181" s="7" t="s">
        <v>22</v>
      </c>
      <c r="D181" s="7" t="s">
        <v>18</v>
      </c>
      <c r="E181" s="7">
        <v>2900</v>
      </c>
      <c r="F181" s="7">
        <v>6</v>
      </c>
      <c r="G181" s="8">
        <f t="shared" si="2"/>
        <v>17400</v>
      </c>
    </row>
    <row r="182" spans="1:7" ht="15.5">
      <c r="A182" s="3">
        <v>44551</v>
      </c>
      <c r="B182" s="4" t="s">
        <v>15</v>
      </c>
      <c r="C182" s="4" t="s">
        <v>17</v>
      </c>
      <c r="D182" s="4" t="s">
        <v>21</v>
      </c>
      <c r="E182" s="4">
        <v>120</v>
      </c>
      <c r="F182" s="4">
        <v>6</v>
      </c>
      <c r="G182" s="5">
        <f t="shared" si="2"/>
        <v>720</v>
      </c>
    </row>
    <row r="183" spans="1:7" ht="15.5">
      <c r="A183" s="6">
        <v>44555</v>
      </c>
      <c r="B183" s="7" t="s">
        <v>19</v>
      </c>
      <c r="C183" s="7" t="s">
        <v>20</v>
      </c>
      <c r="D183" s="7" t="s">
        <v>21</v>
      </c>
      <c r="E183" s="7">
        <v>52000</v>
      </c>
      <c r="F183" s="7">
        <v>41</v>
      </c>
      <c r="G183" s="8">
        <f t="shared" si="2"/>
        <v>2132000</v>
      </c>
    </row>
    <row r="184" spans="1:7" ht="15.5">
      <c r="A184" s="3">
        <v>44559</v>
      </c>
      <c r="B184" s="4" t="s">
        <v>23</v>
      </c>
      <c r="C184" s="4" t="s">
        <v>22</v>
      </c>
      <c r="D184" s="4" t="s">
        <v>14</v>
      </c>
      <c r="E184" s="4">
        <v>590</v>
      </c>
      <c r="F184" s="4">
        <v>29</v>
      </c>
      <c r="G184" s="5">
        <f t="shared" si="2"/>
        <v>17110</v>
      </c>
    </row>
    <row r="185" spans="1:7" ht="15.5">
      <c r="A185" s="6">
        <v>44563</v>
      </c>
      <c r="B185" s="7" t="s">
        <v>19</v>
      </c>
      <c r="C185" s="7" t="s">
        <v>16</v>
      </c>
      <c r="D185" s="7" t="s">
        <v>24</v>
      </c>
      <c r="E185" s="7">
        <v>7999</v>
      </c>
      <c r="F185" s="7">
        <v>31</v>
      </c>
      <c r="G185" s="8">
        <f t="shared" si="2"/>
        <v>247969</v>
      </c>
    </row>
    <row r="186" spans="1:7" ht="15.5">
      <c r="A186" s="3">
        <v>44567</v>
      </c>
      <c r="B186" s="4" t="s">
        <v>10</v>
      </c>
      <c r="C186" s="4" t="s">
        <v>17</v>
      </c>
      <c r="D186" s="4" t="s">
        <v>14</v>
      </c>
      <c r="E186" s="4">
        <v>999</v>
      </c>
      <c r="F186" s="4">
        <v>34</v>
      </c>
      <c r="G186" s="5">
        <f t="shared" si="2"/>
        <v>33966</v>
      </c>
    </row>
    <row r="187" spans="1:7" ht="15.5">
      <c r="A187" s="6">
        <v>44571</v>
      </c>
      <c r="B187" s="7" t="s">
        <v>12</v>
      </c>
      <c r="C187" s="7" t="s">
        <v>22</v>
      </c>
      <c r="D187" s="7" t="s">
        <v>9</v>
      </c>
      <c r="E187" s="7">
        <v>990</v>
      </c>
      <c r="F187" s="7">
        <v>43</v>
      </c>
      <c r="G187" s="8">
        <f t="shared" si="2"/>
        <v>42570</v>
      </c>
    </row>
    <row r="188" spans="1:7" ht="15.5">
      <c r="A188" s="3">
        <v>44575</v>
      </c>
      <c r="B188" s="4" t="s">
        <v>19</v>
      </c>
      <c r="C188" s="4" t="s">
        <v>20</v>
      </c>
      <c r="D188" s="4" t="s">
        <v>9</v>
      </c>
      <c r="E188" s="4">
        <v>11999</v>
      </c>
      <c r="F188" s="4">
        <v>37</v>
      </c>
      <c r="G188" s="5">
        <f t="shared" si="2"/>
        <v>443963</v>
      </c>
    </row>
    <row r="189" spans="1:7" ht="15.5">
      <c r="A189" s="6">
        <v>44579</v>
      </c>
      <c r="B189" s="7" t="s">
        <v>19</v>
      </c>
      <c r="C189" s="7" t="s">
        <v>13</v>
      </c>
      <c r="D189" s="7" t="s">
        <v>9</v>
      </c>
      <c r="E189" s="7">
        <v>960</v>
      </c>
      <c r="F189" s="7">
        <v>7</v>
      </c>
      <c r="G189" s="8">
        <f t="shared" si="2"/>
        <v>6720</v>
      </c>
    </row>
    <row r="190" spans="1:7" ht="15.5">
      <c r="A190" s="3">
        <v>44583</v>
      </c>
      <c r="B190" s="4" t="s">
        <v>7</v>
      </c>
      <c r="C190" s="4" t="s">
        <v>8</v>
      </c>
      <c r="D190" s="4" t="s">
        <v>14</v>
      </c>
      <c r="E190" s="4">
        <v>1450</v>
      </c>
      <c r="F190" s="4">
        <v>19</v>
      </c>
      <c r="G190" s="5">
        <f t="shared" si="2"/>
        <v>27550</v>
      </c>
    </row>
    <row r="191" spans="1:7" ht="15.5">
      <c r="A191" s="6">
        <v>44587</v>
      </c>
      <c r="B191" s="7" t="s">
        <v>23</v>
      </c>
      <c r="C191" s="7" t="s">
        <v>22</v>
      </c>
      <c r="D191" s="7" t="s">
        <v>11</v>
      </c>
      <c r="E191" s="7">
        <v>450</v>
      </c>
      <c r="F191" s="7">
        <v>47</v>
      </c>
      <c r="G191" s="8">
        <f t="shared" si="2"/>
        <v>21150</v>
      </c>
    </row>
    <row r="192" spans="1:7" ht="15.5">
      <c r="A192" s="3">
        <v>44591</v>
      </c>
      <c r="B192" s="4" t="s">
        <v>10</v>
      </c>
      <c r="C192" s="4" t="s">
        <v>22</v>
      </c>
      <c r="D192" s="4" t="s">
        <v>14</v>
      </c>
      <c r="E192" s="4">
        <v>1499</v>
      </c>
      <c r="F192" s="4">
        <v>37</v>
      </c>
      <c r="G192" s="5">
        <f t="shared" si="2"/>
        <v>55463</v>
      </c>
    </row>
    <row r="193" spans="1:7" ht="15.5">
      <c r="A193" s="6">
        <v>44595</v>
      </c>
      <c r="B193" s="7" t="s">
        <v>12</v>
      </c>
      <c r="C193" s="7" t="s">
        <v>20</v>
      </c>
      <c r="D193" s="7" t="s">
        <v>11</v>
      </c>
      <c r="E193" s="7">
        <v>79999</v>
      </c>
      <c r="F193" s="7">
        <v>4</v>
      </c>
      <c r="G193" s="8">
        <f t="shared" si="2"/>
        <v>319996</v>
      </c>
    </row>
    <row r="194" spans="1:7" ht="15.5">
      <c r="A194" s="3">
        <v>44599</v>
      </c>
      <c r="B194" s="4" t="s">
        <v>12</v>
      </c>
      <c r="C194" s="4" t="s">
        <v>17</v>
      </c>
      <c r="D194" s="4" t="s">
        <v>21</v>
      </c>
      <c r="E194" s="4">
        <v>999</v>
      </c>
      <c r="F194" s="4">
        <v>45</v>
      </c>
      <c r="G194" s="5">
        <f t="shared" si="2"/>
        <v>44955</v>
      </c>
    </row>
    <row r="195" spans="1:7" ht="15.5">
      <c r="A195" s="6">
        <v>44603</v>
      </c>
      <c r="B195" s="7" t="s">
        <v>19</v>
      </c>
      <c r="C195" s="7" t="s">
        <v>20</v>
      </c>
      <c r="D195" s="7" t="s">
        <v>9</v>
      </c>
      <c r="E195" s="7">
        <v>52000</v>
      </c>
      <c r="F195" s="7">
        <v>15</v>
      </c>
      <c r="G195" s="8">
        <f t="shared" ref="G195:G258" si="3">E195*F195</f>
        <v>780000</v>
      </c>
    </row>
    <row r="196" spans="1:7" ht="15.5">
      <c r="A196" s="3">
        <v>44607</v>
      </c>
      <c r="B196" s="4" t="s">
        <v>19</v>
      </c>
      <c r="C196" s="4" t="s">
        <v>20</v>
      </c>
      <c r="D196" s="4" t="s">
        <v>18</v>
      </c>
      <c r="E196" s="4">
        <v>52000</v>
      </c>
      <c r="F196" s="4">
        <v>39</v>
      </c>
      <c r="G196" s="5">
        <f t="shared" si="3"/>
        <v>2028000</v>
      </c>
    </row>
    <row r="197" spans="1:7" ht="15.5">
      <c r="A197" s="6">
        <v>44611</v>
      </c>
      <c r="B197" s="7" t="s">
        <v>19</v>
      </c>
      <c r="C197" s="7" t="s">
        <v>13</v>
      </c>
      <c r="D197" s="7" t="s">
        <v>14</v>
      </c>
      <c r="E197" s="7">
        <v>960</v>
      </c>
      <c r="F197" s="7">
        <v>33</v>
      </c>
      <c r="G197" s="8">
        <f t="shared" si="3"/>
        <v>31680</v>
      </c>
    </row>
    <row r="198" spans="1:7" ht="15.5">
      <c r="A198" s="3">
        <v>44615</v>
      </c>
      <c r="B198" s="4" t="s">
        <v>19</v>
      </c>
      <c r="C198" s="4" t="s">
        <v>13</v>
      </c>
      <c r="D198" s="4" t="s">
        <v>14</v>
      </c>
      <c r="E198" s="4">
        <v>1450</v>
      </c>
      <c r="F198" s="4">
        <v>34</v>
      </c>
      <c r="G198" s="5">
        <f t="shared" si="3"/>
        <v>49300</v>
      </c>
    </row>
    <row r="199" spans="1:7" ht="15.5">
      <c r="A199" s="6">
        <v>44619</v>
      </c>
      <c r="B199" s="7" t="s">
        <v>19</v>
      </c>
      <c r="C199" s="7" t="s">
        <v>16</v>
      </c>
      <c r="D199" s="7" t="s">
        <v>18</v>
      </c>
      <c r="E199" s="7">
        <v>2999</v>
      </c>
      <c r="F199" s="7">
        <v>33</v>
      </c>
      <c r="G199" s="8">
        <f t="shared" si="3"/>
        <v>98967</v>
      </c>
    </row>
    <row r="200" spans="1:7" ht="15.5">
      <c r="A200" s="3">
        <v>44623</v>
      </c>
      <c r="B200" s="4" t="s">
        <v>12</v>
      </c>
      <c r="C200" s="4" t="s">
        <v>13</v>
      </c>
      <c r="D200" s="4" t="s">
        <v>21</v>
      </c>
      <c r="E200" s="4">
        <v>1250</v>
      </c>
      <c r="F200" s="4">
        <v>14</v>
      </c>
      <c r="G200" s="5">
        <f t="shared" si="3"/>
        <v>17500</v>
      </c>
    </row>
    <row r="201" spans="1:7" ht="15.5">
      <c r="A201" s="6">
        <v>44627</v>
      </c>
      <c r="B201" s="7" t="s">
        <v>15</v>
      </c>
      <c r="C201" s="7" t="s">
        <v>17</v>
      </c>
      <c r="D201" s="7" t="s">
        <v>9</v>
      </c>
      <c r="E201" s="7">
        <v>120</v>
      </c>
      <c r="F201" s="7">
        <v>41</v>
      </c>
      <c r="G201" s="8">
        <f t="shared" si="3"/>
        <v>4920</v>
      </c>
    </row>
    <row r="202" spans="1:7" ht="15.5">
      <c r="A202" s="3">
        <v>44631</v>
      </c>
      <c r="B202" s="4" t="s">
        <v>10</v>
      </c>
      <c r="C202" s="4" t="s">
        <v>8</v>
      </c>
      <c r="D202" s="4" t="s">
        <v>18</v>
      </c>
      <c r="E202" s="4">
        <v>1450</v>
      </c>
      <c r="F202" s="4">
        <v>22</v>
      </c>
      <c r="G202" s="5">
        <f t="shared" si="3"/>
        <v>31900</v>
      </c>
    </row>
    <row r="203" spans="1:7" ht="15.5">
      <c r="A203" s="6">
        <v>44635</v>
      </c>
      <c r="B203" s="7" t="s">
        <v>10</v>
      </c>
      <c r="C203" s="7" t="s">
        <v>20</v>
      </c>
      <c r="D203" s="7" t="s">
        <v>9</v>
      </c>
      <c r="E203" s="7">
        <v>89999</v>
      </c>
      <c r="F203" s="7">
        <v>15</v>
      </c>
      <c r="G203" s="8">
        <f t="shared" si="3"/>
        <v>1349985</v>
      </c>
    </row>
    <row r="204" spans="1:7" ht="15.5">
      <c r="A204" s="3">
        <v>44639</v>
      </c>
      <c r="B204" s="4" t="s">
        <v>23</v>
      </c>
      <c r="C204" s="4" t="s">
        <v>22</v>
      </c>
      <c r="D204" s="4" t="s">
        <v>14</v>
      </c>
      <c r="E204" s="4">
        <v>1999</v>
      </c>
      <c r="F204" s="4">
        <v>48</v>
      </c>
      <c r="G204" s="5">
        <f t="shared" si="3"/>
        <v>95952</v>
      </c>
    </row>
    <row r="205" spans="1:7" ht="15.5">
      <c r="A205" s="6">
        <v>44643</v>
      </c>
      <c r="B205" s="7" t="s">
        <v>23</v>
      </c>
      <c r="C205" s="7" t="s">
        <v>16</v>
      </c>
      <c r="D205" s="7" t="s">
        <v>18</v>
      </c>
      <c r="E205" s="7">
        <v>2900</v>
      </c>
      <c r="F205" s="7">
        <v>49</v>
      </c>
      <c r="G205" s="8">
        <f t="shared" si="3"/>
        <v>142100</v>
      </c>
    </row>
    <row r="206" spans="1:7" ht="15.5">
      <c r="A206" s="3">
        <v>44647</v>
      </c>
      <c r="B206" s="4" t="s">
        <v>19</v>
      </c>
      <c r="C206" s="4" t="s">
        <v>20</v>
      </c>
      <c r="D206" s="4" t="s">
        <v>21</v>
      </c>
      <c r="E206" s="4">
        <v>700</v>
      </c>
      <c r="F206" s="4">
        <v>50</v>
      </c>
      <c r="G206" s="5">
        <f t="shared" si="3"/>
        <v>35000</v>
      </c>
    </row>
    <row r="207" spans="1:7" ht="15.5">
      <c r="A207" s="6">
        <v>44651</v>
      </c>
      <c r="B207" s="7" t="s">
        <v>15</v>
      </c>
      <c r="C207" s="7" t="s">
        <v>17</v>
      </c>
      <c r="D207" s="7" t="s">
        <v>18</v>
      </c>
      <c r="E207" s="7">
        <v>200</v>
      </c>
      <c r="F207" s="7">
        <v>41</v>
      </c>
      <c r="G207" s="8">
        <f t="shared" si="3"/>
        <v>8200</v>
      </c>
    </row>
    <row r="208" spans="1:7" ht="15.5">
      <c r="A208" s="3">
        <v>44655</v>
      </c>
      <c r="B208" s="4" t="s">
        <v>7</v>
      </c>
      <c r="C208" s="4" t="s">
        <v>8</v>
      </c>
      <c r="D208" s="4" t="s">
        <v>14</v>
      </c>
      <c r="E208" s="4">
        <v>499</v>
      </c>
      <c r="F208" s="4">
        <v>29</v>
      </c>
      <c r="G208" s="5">
        <f t="shared" si="3"/>
        <v>14471</v>
      </c>
    </row>
    <row r="209" spans="1:7" ht="15.5">
      <c r="A209" s="6">
        <v>44659</v>
      </c>
      <c r="B209" s="7" t="s">
        <v>12</v>
      </c>
      <c r="C209" s="7" t="s">
        <v>8</v>
      </c>
      <c r="D209" s="7" t="s">
        <v>24</v>
      </c>
      <c r="E209" s="7">
        <v>5599</v>
      </c>
      <c r="F209" s="7">
        <v>36</v>
      </c>
      <c r="G209" s="8">
        <f t="shared" si="3"/>
        <v>201564</v>
      </c>
    </row>
    <row r="210" spans="1:7" ht="15.5">
      <c r="A210" s="3">
        <v>44663</v>
      </c>
      <c r="B210" s="4" t="s">
        <v>10</v>
      </c>
      <c r="C210" s="4" t="s">
        <v>17</v>
      </c>
      <c r="D210" s="4" t="s">
        <v>18</v>
      </c>
      <c r="E210" s="4">
        <v>100</v>
      </c>
      <c r="F210" s="4">
        <v>39</v>
      </c>
      <c r="G210" s="5">
        <f t="shared" si="3"/>
        <v>3900</v>
      </c>
    </row>
    <row r="211" spans="1:7" ht="15.5">
      <c r="A211" s="6">
        <v>44667</v>
      </c>
      <c r="B211" s="7" t="s">
        <v>19</v>
      </c>
      <c r="C211" s="7" t="s">
        <v>16</v>
      </c>
      <c r="D211" s="7" t="s">
        <v>18</v>
      </c>
      <c r="E211" s="7">
        <v>79999</v>
      </c>
      <c r="F211" s="7">
        <v>9</v>
      </c>
      <c r="G211" s="8">
        <f t="shared" si="3"/>
        <v>719991</v>
      </c>
    </row>
    <row r="212" spans="1:7" ht="15.5">
      <c r="A212" s="3">
        <v>44671</v>
      </c>
      <c r="B212" s="4" t="s">
        <v>12</v>
      </c>
      <c r="C212" s="4" t="s">
        <v>20</v>
      </c>
      <c r="D212" s="4" t="s">
        <v>14</v>
      </c>
      <c r="E212" s="4">
        <v>700</v>
      </c>
      <c r="F212" s="4">
        <v>38</v>
      </c>
      <c r="G212" s="5">
        <f t="shared" si="3"/>
        <v>26600</v>
      </c>
    </row>
    <row r="213" spans="1:7" ht="15.5">
      <c r="A213" s="6">
        <v>44675</v>
      </c>
      <c r="B213" s="7" t="s">
        <v>19</v>
      </c>
      <c r="C213" s="7" t="s">
        <v>13</v>
      </c>
      <c r="D213" s="7" t="s">
        <v>9</v>
      </c>
      <c r="E213" s="7">
        <v>550</v>
      </c>
      <c r="F213" s="7">
        <v>25</v>
      </c>
      <c r="G213" s="8">
        <f t="shared" si="3"/>
        <v>13750</v>
      </c>
    </row>
    <row r="214" spans="1:7" ht="15.5">
      <c r="A214" s="3">
        <v>44679</v>
      </c>
      <c r="B214" s="4" t="s">
        <v>23</v>
      </c>
      <c r="C214" s="4" t="s">
        <v>22</v>
      </c>
      <c r="D214" s="4" t="s">
        <v>18</v>
      </c>
      <c r="E214" s="4">
        <v>1499</v>
      </c>
      <c r="F214" s="4">
        <v>16</v>
      </c>
      <c r="G214" s="5">
        <f t="shared" si="3"/>
        <v>23984</v>
      </c>
    </row>
    <row r="215" spans="1:7" ht="15.5">
      <c r="A215" s="6">
        <v>44683</v>
      </c>
      <c r="B215" s="7" t="s">
        <v>15</v>
      </c>
      <c r="C215" s="7" t="s">
        <v>17</v>
      </c>
      <c r="D215" s="7" t="s">
        <v>21</v>
      </c>
      <c r="E215" s="7">
        <v>120</v>
      </c>
      <c r="F215" s="7">
        <v>22</v>
      </c>
      <c r="G215" s="8">
        <f t="shared" si="3"/>
        <v>2640</v>
      </c>
    </row>
    <row r="216" spans="1:7" ht="15.5">
      <c r="A216" s="3">
        <v>44687</v>
      </c>
      <c r="B216" s="4" t="s">
        <v>7</v>
      </c>
      <c r="C216" s="4" t="s">
        <v>8</v>
      </c>
      <c r="D216" s="4" t="s">
        <v>11</v>
      </c>
      <c r="E216" s="4">
        <v>1450</v>
      </c>
      <c r="F216" s="4">
        <v>20</v>
      </c>
      <c r="G216" s="5">
        <f t="shared" si="3"/>
        <v>29000</v>
      </c>
    </row>
    <row r="217" spans="1:7" ht="15.5">
      <c r="A217" s="6">
        <v>44691</v>
      </c>
      <c r="B217" s="7" t="s">
        <v>23</v>
      </c>
      <c r="C217" s="7" t="s">
        <v>16</v>
      </c>
      <c r="D217" s="7" t="s">
        <v>14</v>
      </c>
      <c r="E217" s="7">
        <v>1999</v>
      </c>
      <c r="F217" s="7">
        <v>23</v>
      </c>
      <c r="G217" s="8">
        <f t="shared" si="3"/>
        <v>45977</v>
      </c>
    </row>
    <row r="218" spans="1:7" ht="15.5">
      <c r="A218" s="3">
        <v>44695</v>
      </c>
      <c r="B218" s="4" t="s">
        <v>7</v>
      </c>
      <c r="C218" s="4" t="s">
        <v>8</v>
      </c>
      <c r="D218" s="4" t="s">
        <v>18</v>
      </c>
      <c r="E218" s="4">
        <v>800</v>
      </c>
      <c r="F218" s="4">
        <v>43</v>
      </c>
      <c r="G218" s="5">
        <f t="shared" si="3"/>
        <v>34400</v>
      </c>
    </row>
    <row r="219" spans="1:7" ht="15.5">
      <c r="A219" s="6">
        <v>44699</v>
      </c>
      <c r="B219" s="7" t="s">
        <v>12</v>
      </c>
      <c r="C219" s="7" t="s">
        <v>17</v>
      </c>
      <c r="D219" s="7" t="s">
        <v>21</v>
      </c>
      <c r="E219" s="7">
        <v>100</v>
      </c>
      <c r="F219" s="7">
        <v>41</v>
      </c>
      <c r="G219" s="8">
        <f t="shared" si="3"/>
        <v>4100</v>
      </c>
    </row>
    <row r="220" spans="1:7" ht="15.5">
      <c r="A220" s="3">
        <v>44703</v>
      </c>
      <c r="B220" s="4" t="s">
        <v>7</v>
      </c>
      <c r="C220" s="4" t="s">
        <v>8</v>
      </c>
      <c r="D220" s="4" t="s">
        <v>14</v>
      </c>
      <c r="E220" s="4">
        <v>13999</v>
      </c>
      <c r="F220" s="4">
        <v>37</v>
      </c>
      <c r="G220" s="5">
        <f t="shared" si="3"/>
        <v>517963</v>
      </c>
    </row>
    <row r="221" spans="1:7" ht="15.5">
      <c r="A221" s="6">
        <v>44707</v>
      </c>
      <c r="B221" s="7" t="s">
        <v>19</v>
      </c>
      <c r="C221" s="7" t="s">
        <v>20</v>
      </c>
      <c r="D221" s="7" t="s">
        <v>18</v>
      </c>
      <c r="E221" s="7">
        <v>22000</v>
      </c>
      <c r="F221" s="7">
        <v>45</v>
      </c>
      <c r="G221" s="8">
        <f t="shared" si="3"/>
        <v>990000</v>
      </c>
    </row>
    <row r="222" spans="1:7" ht="15.5">
      <c r="A222" s="3">
        <v>44711</v>
      </c>
      <c r="B222" s="4" t="s">
        <v>19</v>
      </c>
      <c r="C222" s="4" t="s">
        <v>20</v>
      </c>
      <c r="D222" s="4" t="s">
        <v>24</v>
      </c>
      <c r="E222" s="4">
        <v>89999</v>
      </c>
      <c r="F222" s="4">
        <v>15</v>
      </c>
      <c r="G222" s="5">
        <f t="shared" si="3"/>
        <v>1349985</v>
      </c>
    </row>
    <row r="223" spans="1:7" ht="15.5">
      <c r="A223" s="6">
        <v>44715</v>
      </c>
      <c r="B223" s="7" t="s">
        <v>10</v>
      </c>
      <c r="C223" s="7" t="s">
        <v>16</v>
      </c>
      <c r="D223" s="7" t="s">
        <v>18</v>
      </c>
      <c r="E223" s="7">
        <v>13999</v>
      </c>
      <c r="F223" s="7">
        <v>22</v>
      </c>
      <c r="G223" s="8">
        <f t="shared" si="3"/>
        <v>307978</v>
      </c>
    </row>
    <row r="224" spans="1:7" ht="15.5">
      <c r="A224" s="3">
        <v>44719</v>
      </c>
      <c r="B224" s="4" t="s">
        <v>12</v>
      </c>
      <c r="C224" s="4" t="s">
        <v>22</v>
      </c>
      <c r="D224" s="4" t="s">
        <v>14</v>
      </c>
      <c r="E224" s="4">
        <v>2900</v>
      </c>
      <c r="F224" s="4">
        <v>20</v>
      </c>
      <c r="G224" s="5">
        <f t="shared" si="3"/>
        <v>58000</v>
      </c>
    </row>
    <row r="225" spans="1:7" ht="15.5">
      <c r="A225" s="6">
        <v>44723</v>
      </c>
      <c r="B225" s="7" t="s">
        <v>10</v>
      </c>
      <c r="C225" s="7" t="s">
        <v>20</v>
      </c>
      <c r="D225" s="7" t="s">
        <v>18</v>
      </c>
      <c r="E225" s="7">
        <v>33000</v>
      </c>
      <c r="F225" s="7">
        <v>16</v>
      </c>
      <c r="G225" s="8">
        <f t="shared" si="3"/>
        <v>528000</v>
      </c>
    </row>
    <row r="226" spans="1:7" ht="15.5">
      <c r="A226" s="3">
        <v>44727</v>
      </c>
      <c r="B226" s="4" t="s">
        <v>19</v>
      </c>
      <c r="C226" s="4" t="s">
        <v>16</v>
      </c>
      <c r="D226" s="4" t="s">
        <v>11</v>
      </c>
      <c r="E226" s="4">
        <v>22000</v>
      </c>
      <c r="F226" s="4">
        <v>17</v>
      </c>
      <c r="G226" s="5">
        <f t="shared" si="3"/>
        <v>374000</v>
      </c>
    </row>
    <row r="227" spans="1:7" ht="15.5">
      <c r="A227" s="6">
        <v>44731</v>
      </c>
      <c r="B227" s="7" t="s">
        <v>23</v>
      </c>
      <c r="C227" s="7" t="s">
        <v>22</v>
      </c>
      <c r="D227" s="7" t="s">
        <v>11</v>
      </c>
      <c r="E227" s="7">
        <v>699</v>
      </c>
      <c r="F227" s="7">
        <v>50</v>
      </c>
      <c r="G227" s="8">
        <f t="shared" si="3"/>
        <v>34950</v>
      </c>
    </row>
    <row r="228" spans="1:7" ht="15.5">
      <c r="A228" s="3">
        <v>44735</v>
      </c>
      <c r="B228" s="4" t="s">
        <v>12</v>
      </c>
      <c r="C228" s="4" t="s">
        <v>20</v>
      </c>
      <c r="D228" s="4" t="s">
        <v>14</v>
      </c>
      <c r="E228" s="4">
        <v>499</v>
      </c>
      <c r="F228" s="4">
        <v>4</v>
      </c>
      <c r="G228" s="5">
        <f t="shared" si="3"/>
        <v>1996</v>
      </c>
    </row>
    <row r="229" spans="1:7" ht="15.5">
      <c r="A229" s="6">
        <v>44739</v>
      </c>
      <c r="B229" s="7" t="s">
        <v>23</v>
      </c>
      <c r="C229" s="7" t="s">
        <v>22</v>
      </c>
      <c r="D229" s="7" t="s">
        <v>18</v>
      </c>
      <c r="E229" s="7">
        <v>590</v>
      </c>
      <c r="F229" s="7">
        <v>43</v>
      </c>
      <c r="G229" s="8">
        <f t="shared" si="3"/>
        <v>25370</v>
      </c>
    </row>
    <row r="230" spans="1:7" ht="15.5">
      <c r="A230" s="3">
        <v>44743</v>
      </c>
      <c r="B230" s="4" t="s">
        <v>23</v>
      </c>
      <c r="C230" s="4" t="s">
        <v>22</v>
      </c>
      <c r="D230" s="4" t="s">
        <v>11</v>
      </c>
      <c r="E230" s="4">
        <v>590</v>
      </c>
      <c r="F230" s="4">
        <v>42</v>
      </c>
      <c r="G230" s="5">
        <f t="shared" si="3"/>
        <v>24780</v>
      </c>
    </row>
    <row r="231" spans="1:7" ht="15.5">
      <c r="A231" s="6">
        <v>44747</v>
      </c>
      <c r="B231" s="7" t="s">
        <v>15</v>
      </c>
      <c r="C231" s="7" t="s">
        <v>17</v>
      </c>
      <c r="D231" s="7" t="s">
        <v>9</v>
      </c>
      <c r="E231" s="7">
        <v>120</v>
      </c>
      <c r="F231" s="7">
        <v>9</v>
      </c>
      <c r="G231" s="8">
        <f t="shared" si="3"/>
        <v>1080</v>
      </c>
    </row>
    <row r="232" spans="1:7" ht="15.5">
      <c r="A232" s="3">
        <v>44751</v>
      </c>
      <c r="B232" s="4" t="s">
        <v>12</v>
      </c>
      <c r="C232" s="4" t="s">
        <v>20</v>
      </c>
      <c r="D232" s="4" t="s">
        <v>24</v>
      </c>
      <c r="E232" s="4">
        <v>52000</v>
      </c>
      <c r="F232" s="4">
        <v>40</v>
      </c>
      <c r="G232" s="5">
        <f t="shared" si="3"/>
        <v>2080000</v>
      </c>
    </row>
    <row r="233" spans="1:7" ht="15.5">
      <c r="A233" s="6">
        <v>44755</v>
      </c>
      <c r="B233" s="7" t="s">
        <v>19</v>
      </c>
      <c r="C233" s="7" t="s">
        <v>16</v>
      </c>
      <c r="D233" s="7" t="s">
        <v>18</v>
      </c>
      <c r="E233" s="7">
        <v>7999</v>
      </c>
      <c r="F233" s="7">
        <v>14</v>
      </c>
      <c r="G233" s="8">
        <f t="shared" si="3"/>
        <v>111986</v>
      </c>
    </row>
    <row r="234" spans="1:7" ht="15.5">
      <c r="A234" s="3">
        <v>44759</v>
      </c>
      <c r="B234" s="4" t="s">
        <v>12</v>
      </c>
      <c r="C234" s="4" t="s">
        <v>13</v>
      </c>
      <c r="D234" s="4" t="s">
        <v>21</v>
      </c>
      <c r="E234" s="4">
        <v>550</v>
      </c>
      <c r="F234" s="4">
        <v>9</v>
      </c>
      <c r="G234" s="5">
        <f t="shared" si="3"/>
        <v>4950</v>
      </c>
    </row>
    <row r="235" spans="1:7" ht="15.5">
      <c r="A235" s="6">
        <v>44763</v>
      </c>
      <c r="B235" s="7" t="s">
        <v>19</v>
      </c>
      <c r="C235" s="7" t="s">
        <v>20</v>
      </c>
      <c r="D235" s="7" t="s">
        <v>18</v>
      </c>
      <c r="E235" s="7">
        <v>79999</v>
      </c>
      <c r="F235" s="7">
        <v>10</v>
      </c>
      <c r="G235" s="8">
        <f t="shared" si="3"/>
        <v>799990</v>
      </c>
    </row>
    <row r="236" spans="1:7" ht="15.5">
      <c r="A236" s="3">
        <v>44767</v>
      </c>
      <c r="B236" s="4" t="s">
        <v>10</v>
      </c>
      <c r="C236" s="4" t="s">
        <v>16</v>
      </c>
      <c r="D236" s="4" t="s">
        <v>11</v>
      </c>
      <c r="E236" s="4">
        <v>1999</v>
      </c>
      <c r="F236" s="4">
        <v>37</v>
      </c>
      <c r="G236" s="5">
        <f t="shared" si="3"/>
        <v>73963</v>
      </c>
    </row>
    <row r="237" spans="1:7" ht="15.5">
      <c r="A237" s="6">
        <v>44771</v>
      </c>
      <c r="B237" s="7" t="s">
        <v>12</v>
      </c>
      <c r="C237" s="7" t="s">
        <v>20</v>
      </c>
      <c r="D237" s="7" t="s">
        <v>18</v>
      </c>
      <c r="E237" s="7">
        <v>89999</v>
      </c>
      <c r="F237" s="7">
        <v>29</v>
      </c>
      <c r="G237" s="8">
        <f t="shared" si="3"/>
        <v>2609971</v>
      </c>
    </row>
    <row r="238" spans="1:7" ht="15.5">
      <c r="A238" s="3">
        <v>44775</v>
      </c>
      <c r="B238" s="4" t="s">
        <v>19</v>
      </c>
      <c r="C238" s="4" t="s">
        <v>20</v>
      </c>
      <c r="D238" s="4" t="s">
        <v>9</v>
      </c>
      <c r="E238" s="4">
        <v>799</v>
      </c>
      <c r="F238" s="4">
        <v>44</v>
      </c>
      <c r="G238" s="5">
        <f t="shared" si="3"/>
        <v>35156</v>
      </c>
    </row>
    <row r="239" spans="1:7" ht="15.5">
      <c r="A239" s="6">
        <v>44779</v>
      </c>
      <c r="B239" s="7" t="s">
        <v>19</v>
      </c>
      <c r="C239" s="7" t="s">
        <v>20</v>
      </c>
      <c r="D239" s="7" t="s">
        <v>24</v>
      </c>
      <c r="E239" s="7">
        <v>3990</v>
      </c>
      <c r="F239" s="7">
        <v>31</v>
      </c>
      <c r="G239" s="8">
        <f t="shared" si="3"/>
        <v>123690</v>
      </c>
    </row>
    <row r="240" spans="1:7" ht="15.5">
      <c r="A240" s="3">
        <v>44783</v>
      </c>
      <c r="B240" s="4" t="s">
        <v>12</v>
      </c>
      <c r="C240" s="4" t="s">
        <v>16</v>
      </c>
      <c r="D240" s="4" t="s">
        <v>14</v>
      </c>
      <c r="E240" s="4">
        <v>52000</v>
      </c>
      <c r="F240" s="4">
        <v>29</v>
      </c>
      <c r="G240" s="5">
        <f t="shared" si="3"/>
        <v>1508000</v>
      </c>
    </row>
    <row r="241" spans="1:7" ht="15.5">
      <c r="A241" s="6">
        <v>44787</v>
      </c>
      <c r="B241" s="7" t="s">
        <v>7</v>
      </c>
      <c r="C241" s="7" t="s">
        <v>8</v>
      </c>
      <c r="D241" s="7" t="s">
        <v>18</v>
      </c>
      <c r="E241" s="7">
        <v>13999</v>
      </c>
      <c r="F241" s="7">
        <v>34</v>
      </c>
      <c r="G241" s="8">
        <f t="shared" si="3"/>
        <v>475966</v>
      </c>
    </row>
    <row r="242" spans="1:7" ht="15.5">
      <c r="A242" s="3">
        <v>44791</v>
      </c>
      <c r="B242" s="4" t="s">
        <v>12</v>
      </c>
      <c r="C242" s="4" t="s">
        <v>17</v>
      </c>
      <c r="D242" s="4" t="s">
        <v>14</v>
      </c>
      <c r="E242" s="4">
        <v>120</v>
      </c>
      <c r="F242" s="4">
        <v>29</v>
      </c>
      <c r="G242" s="5">
        <f t="shared" si="3"/>
        <v>3480</v>
      </c>
    </row>
    <row r="243" spans="1:7" ht="15.5">
      <c r="A243" s="6">
        <v>44795</v>
      </c>
      <c r="B243" s="7" t="s">
        <v>19</v>
      </c>
      <c r="C243" s="7" t="s">
        <v>13</v>
      </c>
      <c r="D243" s="7" t="s">
        <v>9</v>
      </c>
      <c r="E243" s="7">
        <v>23999</v>
      </c>
      <c r="F243" s="7">
        <v>25</v>
      </c>
      <c r="G243" s="8">
        <f t="shared" si="3"/>
        <v>599975</v>
      </c>
    </row>
    <row r="244" spans="1:7" ht="15.5">
      <c r="A244" s="3">
        <v>44799</v>
      </c>
      <c r="B244" s="4" t="s">
        <v>12</v>
      </c>
      <c r="C244" s="4" t="s">
        <v>13</v>
      </c>
      <c r="D244" s="4" t="s">
        <v>18</v>
      </c>
      <c r="E244" s="4">
        <v>1250</v>
      </c>
      <c r="F244" s="4">
        <v>31</v>
      </c>
      <c r="G244" s="5">
        <f t="shared" si="3"/>
        <v>38750</v>
      </c>
    </row>
    <row r="245" spans="1:7" ht="15.5">
      <c r="A245" s="6">
        <v>44803</v>
      </c>
      <c r="B245" s="7" t="s">
        <v>23</v>
      </c>
      <c r="C245" s="7" t="s">
        <v>16</v>
      </c>
      <c r="D245" s="7" t="s">
        <v>18</v>
      </c>
      <c r="E245" s="7">
        <v>45000</v>
      </c>
      <c r="F245" s="7">
        <v>16</v>
      </c>
      <c r="G245" s="8">
        <f t="shared" si="3"/>
        <v>720000</v>
      </c>
    </row>
    <row r="246" spans="1:7" ht="15.5">
      <c r="A246" s="3">
        <v>44807</v>
      </c>
      <c r="B246" s="4" t="s">
        <v>10</v>
      </c>
      <c r="C246" s="4" t="s">
        <v>17</v>
      </c>
      <c r="D246" s="4" t="s">
        <v>14</v>
      </c>
      <c r="E246" s="4">
        <v>120</v>
      </c>
      <c r="F246" s="4">
        <v>48</v>
      </c>
      <c r="G246" s="5">
        <f t="shared" si="3"/>
        <v>5760</v>
      </c>
    </row>
    <row r="247" spans="1:7" ht="15.5">
      <c r="A247" s="6">
        <v>44811</v>
      </c>
      <c r="B247" s="7" t="s">
        <v>12</v>
      </c>
      <c r="C247" s="7" t="s">
        <v>16</v>
      </c>
      <c r="D247" s="7" t="s">
        <v>21</v>
      </c>
      <c r="E247" s="7">
        <v>25600</v>
      </c>
      <c r="F247" s="7">
        <v>22</v>
      </c>
      <c r="G247" s="8">
        <f t="shared" si="3"/>
        <v>563200</v>
      </c>
    </row>
    <row r="248" spans="1:7" ht="15.5">
      <c r="A248" s="3">
        <v>44815</v>
      </c>
      <c r="B248" s="4" t="s">
        <v>23</v>
      </c>
      <c r="C248" s="4" t="s">
        <v>22</v>
      </c>
      <c r="D248" s="4" t="s">
        <v>18</v>
      </c>
      <c r="E248" s="4">
        <v>699</v>
      </c>
      <c r="F248" s="4">
        <v>6</v>
      </c>
      <c r="G248" s="5">
        <f t="shared" si="3"/>
        <v>4194</v>
      </c>
    </row>
    <row r="249" spans="1:7" ht="15.5">
      <c r="A249" s="6">
        <v>44819</v>
      </c>
      <c r="B249" s="7" t="s">
        <v>23</v>
      </c>
      <c r="C249" s="7" t="s">
        <v>16</v>
      </c>
      <c r="D249" s="7" t="s">
        <v>14</v>
      </c>
      <c r="E249" s="7">
        <v>99620</v>
      </c>
      <c r="F249" s="7">
        <v>12</v>
      </c>
      <c r="G249" s="8">
        <f t="shared" si="3"/>
        <v>1195440</v>
      </c>
    </row>
    <row r="250" spans="1:7" ht="15.5">
      <c r="A250" s="3">
        <v>44823</v>
      </c>
      <c r="B250" s="4" t="s">
        <v>12</v>
      </c>
      <c r="C250" s="4" t="s">
        <v>22</v>
      </c>
      <c r="D250" s="4" t="s">
        <v>24</v>
      </c>
      <c r="E250" s="4">
        <v>450</v>
      </c>
      <c r="F250" s="4">
        <v>44</v>
      </c>
      <c r="G250" s="5">
        <f t="shared" si="3"/>
        <v>19800</v>
      </c>
    </row>
    <row r="251" spans="1:7" ht="15.5">
      <c r="A251" s="6">
        <v>44827</v>
      </c>
      <c r="B251" s="7" t="s">
        <v>23</v>
      </c>
      <c r="C251" s="7" t="s">
        <v>22</v>
      </c>
      <c r="D251" s="7" t="s">
        <v>14</v>
      </c>
      <c r="E251" s="7">
        <v>1499</v>
      </c>
      <c r="F251" s="7">
        <v>15</v>
      </c>
      <c r="G251" s="8">
        <f t="shared" si="3"/>
        <v>22485</v>
      </c>
    </row>
    <row r="252" spans="1:7" ht="15.5">
      <c r="A252" s="3">
        <v>44831</v>
      </c>
      <c r="B252" s="4" t="s">
        <v>7</v>
      </c>
      <c r="C252" s="4" t="s">
        <v>16</v>
      </c>
      <c r="D252" s="4" t="s">
        <v>21</v>
      </c>
      <c r="E252" s="4">
        <v>49500</v>
      </c>
      <c r="F252" s="4">
        <v>26</v>
      </c>
      <c r="G252" s="5">
        <f t="shared" si="3"/>
        <v>1287000</v>
      </c>
    </row>
    <row r="253" spans="1:7" ht="15.5">
      <c r="A253" s="6">
        <v>44835</v>
      </c>
      <c r="B253" s="7" t="s">
        <v>10</v>
      </c>
      <c r="C253" s="7" t="s">
        <v>13</v>
      </c>
      <c r="D253" s="7" t="s">
        <v>21</v>
      </c>
      <c r="E253" s="7">
        <v>960</v>
      </c>
      <c r="F253" s="7">
        <v>16</v>
      </c>
      <c r="G253" s="8">
        <f t="shared" si="3"/>
        <v>15360</v>
      </c>
    </row>
    <row r="254" spans="1:7" ht="15.5">
      <c r="A254" s="3">
        <v>44839</v>
      </c>
      <c r="B254" s="4" t="s">
        <v>12</v>
      </c>
      <c r="C254" s="4" t="s">
        <v>8</v>
      </c>
      <c r="D254" s="4" t="s">
        <v>18</v>
      </c>
      <c r="E254" s="4">
        <v>5599</v>
      </c>
      <c r="F254" s="4">
        <v>35</v>
      </c>
      <c r="G254" s="5">
        <f t="shared" si="3"/>
        <v>195965</v>
      </c>
    </row>
    <row r="255" spans="1:7" ht="15.5">
      <c r="A255" s="6">
        <v>44843</v>
      </c>
      <c r="B255" s="7" t="s">
        <v>15</v>
      </c>
      <c r="C255" s="7" t="s">
        <v>17</v>
      </c>
      <c r="D255" s="7" t="s">
        <v>9</v>
      </c>
      <c r="E255" s="7">
        <v>89</v>
      </c>
      <c r="F255" s="7">
        <v>36</v>
      </c>
      <c r="G255" s="8">
        <f t="shared" si="3"/>
        <v>3204</v>
      </c>
    </row>
    <row r="256" spans="1:7" ht="15.5">
      <c r="A256" s="3">
        <v>44847</v>
      </c>
      <c r="B256" s="4" t="s">
        <v>7</v>
      </c>
      <c r="C256" s="4" t="s">
        <v>8</v>
      </c>
      <c r="D256" s="4" t="s">
        <v>24</v>
      </c>
      <c r="E256" s="4">
        <v>2550</v>
      </c>
      <c r="F256" s="4">
        <v>20</v>
      </c>
      <c r="G256" s="5">
        <f t="shared" si="3"/>
        <v>51000</v>
      </c>
    </row>
    <row r="257" spans="1:7" ht="15.5">
      <c r="A257" s="6">
        <v>44851</v>
      </c>
      <c r="B257" s="7" t="s">
        <v>12</v>
      </c>
      <c r="C257" s="7" t="s">
        <v>16</v>
      </c>
      <c r="D257" s="7" t="s">
        <v>9</v>
      </c>
      <c r="E257" s="7">
        <v>14500</v>
      </c>
      <c r="F257" s="7">
        <v>47</v>
      </c>
      <c r="G257" s="8">
        <f t="shared" si="3"/>
        <v>681500</v>
      </c>
    </row>
    <row r="258" spans="1:7" ht="15.5">
      <c r="A258" s="3">
        <v>44855</v>
      </c>
      <c r="B258" s="4" t="s">
        <v>23</v>
      </c>
      <c r="C258" s="4" t="s">
        <v>22</v>
      </c>
      <c r="D258" s="4" t="s">
        <v>18</v>
      </c>
      <c r="E258" s="4">
        <v>2900</v>
      </c>
      <c r="F258" s="4">
        <v>6</v>
      </c>
      <c r="G258" s="5">
        <f t="shared" si="3"/>
        <v>17400</v>
      </c>
    </row>
    <row r="259" spans="1:7" ht="15.5">
      <c r="A259" s="6">
        <v>44859</v>
      </c>
      <c r="B259" s="7" t="s">
        <v>15</v>
      </c>
      <c r="C259" s="7" t="s">
        <v>17</v>
      </c>
      <c r="D259" s="7" t="s">
        <v>21</v>
      </c>
      <c r="E259" s="7">
        <v>120</v>
      </c>
      <c r="F259" s="7">
        <v>6</v>
      </c>
      <c r="G259" s="8">
        <f t="shared" ref="G259:G279" si="4">E259*F259</f>
        <v>720</v>
      </c>
    </row>
    <row r="260" spans="1:7" ht="15.5">
      <c r="A260" s="3">
        <v>44863</v>
      </c>
      <c r="B260" s="4" t="s">
        <v>19</v>
      </c>
      <c r="C260" s="4" t="s">
        <v>16</v>
      </c>
      <c r="D260" s="4" t="s">
        <v>14</v>
      </c>
      <c r="E260" s="4">
        <v>52000</v>
      </c>
      <c r="F260" s="4">
        <v>41</v>
      </c>
      <c r="G260" s="5">
        <f t="shared" si="4"/>
        <v>2132000</v>
      </c>
    </row>
    <row r="261" spans="1:7" ht="15.5">
      <c r="A261" s="6">
        <v>44867</v>
      </c>
      <c r="B261" s="7" t="s">
        <v>10</v>
      </c>
      <c r="C261" s="7" t="s">
        <v>22</v>
      </c>
      <c r="D261" s="7" t="s">
        <v>11</v>
      </c>
      <c r="E261" s="7">
        <v>590</v>
      </c>
      <c r="F261" s="7">
        <v>29</v>
      </c>
      <c r="G261" s="8">
        <f t="shared" si="4"/>
        <v>17110</v>
      </c>
    </row>
    <row r="262" spans="1:7" ht="15.5">
      <c r="A262" s="3">
        <v>44871</v>
      </c>
      <c r="B262" s="4" t="s">
        <v>19</v>
      </c>
      <c r="C262" s="4" t="s">
        <v>13</v>
      </c>
      <c r="D262" s="4" t="s">
        <v>21</v>
      </c>
      <c r="E262" s="4">
        <v>7999</v>
      </c>
      <c r="F262" s="4">
        <v>31</v>
      </c>
      <c r="G262" s="5">
        <f t="shared" si="4"/>
        <v>247969</v>
      </c>
    </row>
    <row r="263" spans="1:7" ht="15.5">
      <c r="A263" s="6">
        <v>44875</v>
      </c>
      <c r="B263" s="7" t="s">
        <v>12</v>
      </c>
      <c r="C263" s="7" t="s">
        <v>17</v>
      </c>
      <c r="D263" s="7" t="s">
        <v>11</v>
      </c>
      <c r="E263" s="7">
        <v>999</v>
      </c>
      <c r="F263" s="7">
        <v>34</v>
      </c>
      <c r="G263" s="8">
        <f t="shared" si="4"/>
        <v>33966</v>
      </c>
    </row>
    <row r="264" spans="1:7" ht="15.5">
      <c r="A264" s="3">
        <v>44879</v>
      </c>
      <c r="B264" s="4" t="s">
        <v>23</v>
      </c>
      <c r="C264" s="4" t="s">
        <v>16</v>
      </c>
      <c r="D264" s="4" t="s">
        <v>14</v>
      </c>
      <c r="E264" s="4">
        <v>990</v>
      </c>
      <c r="F264" s="4">
        <v>43</v>
      </c>
      <c r="G264" s="5">
        <f t="shared" si="4"/>
        <v>42570</v>
      </c>
    </row>
    <row r="265" spans="1:7" ht="15.5">
      <c r="A265" s="6">
        <v>44883</v>
      </c>
      <c r="B265" s="7" t="s">
        <v>12</v>
      </c>
      <c r="C265" s="7" t="s">
        <v>20</v>
      </c>
      <c r="D265" s="7" t="s">
        <v>9</v>
      </c>
      <c r="E265" s="7">
        <v>11999</v>
      </c>
      <c r="F265" s="7">
        <v>37</v>
      </c>
      <c r="G265" s="8">
        <f t="shared" si="4"/>
        <v>443963</v>
      </c>
    </row>
    <row r="266" spans="1:7" ht="15.5">
      <c r="A266" s="3">
        <v>44887</v>
      </c>
      <c r="B266" s="4" t="s">
        <v>10</v>
      </c>
      <c r="C266" s="4" t="s">
        <v>13</v>
      </c>
      <c r="D266" s="4" t="s">
        <v>9</v>
      </c>
      <c r="E266" s="4">
        <v>960</v>
      </c>
      <c r="F266" s="4">
        <v>7</v>
      </c>
      <c r="G266" s="5">
        <f t="shared" si="4"/>
        <v>6720</v>
      </c>
    </row>
    <row r="267" spans="1:7" ht="15.5">
      <c r="A267" s="6">
        <v>44891</v>
      </c>
      <c r="B267" s="7" t="s">
        <v>7</v>
      </c>
      <c r="C267" s="7" t="s">
        <v>8</v>
      </c>
      <c r="D267" s="7" t="s">
        <v>14</v>
      </c>
      <c r="E267" s="7">
        <v>1450</v>
      </c>
      <c r="F267" s="7">
        <v>19</v>
      </c>
      <c r="G267" s="8">
        <f t="shared" si="4"/>
        <v>27550</v>
      </c>
    </row>
    <row r="268" spans="1:7" ht="15.5">
      <c r="A268" s="3">
        <v>44895</v>
      </c>
      <c r="B268" s="4" t="s">
        <v>23</v>
      </c>
      <c r="C268" s="4" t="s">
        <v>22</v>
      </c>
      <c r="D268" s="4" t="s">
        <v>11</v>
      </c>
      <c r="E268" s="4">
        <v>450</v>
      </c>
      <c r="F268" s="4">
        <v>47</v>
      </c>
      <c r="G268" s="5">
        <f t="shared" si="4"/>
        <v>21150</v>
      </c>
    </row>
    <row r="269" spans="1:7" ht="15.5">
      <c r="A269" s="6">
        <v>44899</v>
      </c>
      <c r="B269" s="7" t="s">
        <v>12</v>
      </c>
      <c r="C269" s="7" t="s">
        <v>16</v>
      </c>
      <c r="D269" s="7" t="s">
        <v>11</v>
      </c>
      <c r="E269" s="7">
        <v>1499</v>
      </c>
      <c r="F269" s="7">
        <v>37</v>
      </c>
      <c r="G269" s="8">
        <f t="shared" si="4"/>
        <v>55463</v>
      </c>
    </row>
    <row r="270" spans="1:7" ht="15.5">
      <c r="A270" s="3">
        <v>44903</v>
      </c>
      <c r="B270" s="4" t="s">
        <v>19</v>
      </c>
      <c r="C270" s="4" t="s">
        <v>20</v>
      </c>
      <c r="D270" s="4" t="s">
        <v>11</v>
      </c>
      <c r="E270" s="4">
        <v>79999</v>
      </c>
      <c r="F270" s="4">
        <v>4</v>
      </c>
      <c r="G270" s="5">
        <f t="shared" si="4"/>
        <v>319996</v>
      </c>
    </row>
    <row r="271" spans="1:7" ht="15.5">
      <c r="A271" s="6">
        <v>44907</v>
      </c>
      <c r="B271" s="7" t="s">
        <v>12</v>
      </c>
      <c r="C271" s="7" t="s">
        <v>17</v>
      </c>
      <c r="D271" s="7" t="s">
        <v>21</v>
      </c>
      <c r="E271" s="7">
        <v>999</v>
      </c>
      <c r="F271" s="7">
        <v>45</v>
      </c>
      <c r="G271" s="8">
        <f t="shared" si="4"/>
        <v>44955</v>
      </c>
    </row>
    <row r="272" spans="1:7" ht="15.5">
      <c r="A272" s="3">
        <v>44911</v>
      </c>
      <c r="B272" s="4" t="s">
        <v>19</v>
      </c>
      <c r="C272" s="4" t="s">
        <v>20</v>
      </c>
      <c r="D272" s="4" t="s">
        <v>9</v>
      </c>
      <c r="E272" s="4">
        <v>52000</v>
      </c>
      <c r="F272" s="4">
        <v>15</v>
      </c>
      <c r="G272" s="5">
        <f t="shared" si="4"/>
        <v>780000</v>
      </c>
    </row>
    <row r="273" spans="1:7" ht="15.5">
      <c r="A273" s="6">
        <v>44915</v>
      </c>
      <c r="B273" s="7" t="s">
        <v>10</v>
      </c>
      <c r="C273" s="7" t="s">
        <v>20</v>
      </c>
      <c r="D273" s="7" t="s">
        <v>18</v>
      </c>
      <c r="E273" s="7">
        <v>52000</v>
      </c>
      <c r="F273" s="7">
        <v>39</v>
      </c>
      <c r="G273" s="8">
        <f t="shared" si="4"/>
        <v>2028000</v>
      </c>
    </row>
    <row r="274" spans="1:7" ht="15.5">
      <c r="A274" s="3">
        <v>44919</v>
      </c>
      <c r="B274" s="4" t="s">
        <v>12</v>
      </c>
      <c r="C274" s="4" t="s">
        <v>13</v>
      </c>
      <c r="D274" s="4" t="s">
        <v>18</v>
      </c>
      <c r="E274" s="4">
        <v>960</v>
      </c>
      <c r="F274" s="4">
        <v>33</v>
      </c>
      <c r="G274" s="5">
        <f t="shared" si="4"/>
        <v>31680</v>
      </c>
    </row>
    <row r="275" spans="1:7" ht="15.5">
      <c r="A275" s="9">
        <v>44923</v>
      </c>
      <c r="B275" s="10" t="s">
        <v>19</v>
      </c>
      <c r="C275" s="10" t="s">
        <v>13</v>
      </c>
      <c r="D275" s="10" t="s">
        <v>14</v>
      </c>
      <c r="E275" s="10">
        <v>1450</v>
      </c>
      <c r="F275" s="10">
        <v>34</v>
      </c>
      <c r="G275" s="11">
        <f t="shared" si="4"/>
        <v>49300</v>
      </c>
    </row>
    <row r="276" spans="1:7" ht="15.5">
      <c r="A276" s="3">
        <v>44913</v>
      </c>
      <c r="B276" s="4" t="s">
        <v>23</v>
      </c>
      <c r="C276" s="4" t="s">
        <v>22</v>
      </c>
      <c r="D276" s="4" t="s">
        <v>24</v>
      </c>
      <c r="E276" s="4">
        <v>2500</v>
      </c>
      <c r="F276" s="4">
        <v>100</v>
      </c>
      <c r="G276" s="5">
        <f t="shared" si="4"/>
        <v>250000</v>
      </c>
    </row>
    <row r="277" spans="1:7" ht="15.5">
      <c r="A277" s="6">
        <v>44917</v>
      </c>
      <c r="B277" s="7" t="s">
        <v>10</v>
      </c>
      <c r="C277" s="7" t="s">
        <v>16</v>
      </c>
      <c r="D277" s="7" t="s">
        <v>24</v>
      </c>
      <c r="E277" s="7">
        <v>86540</v>
      </c>
      <c r="F277" s="7">
        <v>6</v>
      </c>
      <c r="G277" s="8">
        <f t="shared" si="4"/>
        <v>519240</v>
      </c>
    </row>
    <row r="278" spans="1:7" ht="15.5">
      <c r="A278" s="3">
        <v>44922</v>
      </c>
      <c r="B278" s="4" t="s">
        <v>15</v>
      </c>
      <c r="C278" s="4" t="s">
        <v>17</v>
      </c>
      <c r="D278" s="4" t="s">
        <v>24</v>
      </c>
      <c r="E278" s="4">
        <v>550</v>
      </c>
      <c r="F278" s="4">
        <v>44</v>
      </c>
      <c r="G278" s="5">
        <f t="shared" si="4"/>
        <v>24200</v>
      </c>
    </row>
    <row r="279" spans="1:7" ht="15.5">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zoomScaleNormal="100" workbookViewId="0"/>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38D4-7D14-4075-8D77-903BBBD8341A}">
  <dimension ref="A1"/>
  <sheetViews>
    <sheetView workbookViewId="0"/>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37BC-3FD1-479B-8824-D91595360F3D}">
  <dimension ref="A1"/>
  <sheetViews>
    <sheetView workbookViewId="0"/>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D049-9DFC-4EE8-9419-32F60B38F5B2}">
  <dimension ref="A1"/>
  <sheetViews>
    <sheetView tabSelected="1" workbookViewId="0"/>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D138"/>
  <sheetViews>
    <sheetView topLeftCell="A115" workbookViewId="0">
      <selection activeCell="M33" sqref="M33"/>
    </sheetView>
  </sheetViews>
  <sheetFormatPr defaultRowHeight="14"/>
  <cols>
    <col min="1" max="1" width="12.9140625" bestFit="1" customWidth="1"/>
    <col min="2" max="2" width="11.75" bestFit="1" customWidth="1"/>
    <col min="4" max="4" width="9.75" bestFit="1" customWidth="1"/>
  </cols>
  <sheetData>
    <row r="1" spans="1:2">
      <c r="A1" s="12" t="s">
        <v>25</v>
      </c>
      <c r="B1" t="s">
        <v>27</v>
      </c>
    </row>
    <row r="2" spans="1:2">
      <c r="A2" s="13" t="s">
        <v>38</v>
      </c>
      <c r="B2" s="15">
        <v>1134731</v>
      </c>
    </row>
    <row r="3" spans="1:2">
      <c r="A3" s="13" t="s">
        <v>30</v>
      </c>
      <c r="B3" s="15">
        <v>2959241</v>
      </c>
    </row>
    <row r="4" spans="1:2">
      <c r="A4" s="13" t="s">
        <v>31</v>
      </c>
      <c r="B4" s="15">
        <v>190952</v>
      </c>
    </row>
    <row r="5" spans="1:2">
      <c r="A5" s="13" t="s">
        <v>39</v>
      </c>
      <c r="B5" s="15">
        <v>282446</v>
      </c>
    </row>
    <row r="6" spans="1:2">
      <c r="A6" s="13" t="s">
        <v>33</v>
      </c>
      <c r="B6" s="15">
        <v>749869</v>
      </c>
    </row>
    <row r="7" spans="1:2">
      <c r="A7" s="13" t="s">
        <v>37</v>
      </c>
      <c r="B7" s="15">
        <v>425409</v>
      </c>
    </row>
    <row r="8" spans="1:2">
      <c r="A8" s="13" t="s">
        <v>34</v>
      </c>
      <c r="B8" s="15">
        <v>2655948</v>
      </c>
    </row>
    <row r="9" spans="1:2">
      <c r="A9" s="13" t="s">
        <v>36</v>
      </c>
      <c r="B9" s="15">
        <v>1571476</v>
      </c>
    </row>
    <row r="10" spans="1:2">
      <c r="A10" s="13" t="s">
        <v>35</v>
      </c>
      <c r="B10" s="15">
        <v>1324327</v>
      </c>
    </row>
    <row r="11" spans="1:2">
      <c r="A11" s="13" t="s">
        <v>41</v>
      </c>
      <c r="B11" s="15">
        <v>4179650</v>
      </c>
    </row>
    <row r="12" spans="1:2">
      <c r="A12" s="13" t="s">
        <v>40</v>
      </c>
      <c r="B12" s="15">
        <v>109550</v>
      </c>
    </row>
    <row r="13" spans="1:2">
      <c r="A13" s="13" t="s">
        <v>32</v>
      </c>
      <c r="B13" s="15">
        <v>469086</v>
      </c>
    </row>
    <row r="14" spans="1:2">
      <c r="A14" s="13" t="s">
        <v>26</v>
      </c>
      <c r="B14" s="15">
        <v>16052685</v>
      </c>
    </row>
    <row r="21" spans="1:3">
      <c r="A21" s="12" t="s">
        <v>25</v>
      </c>
      <c r="B21" t="s">
        <v>27</v>
      </c>
      <c r="C21" s="12"/>
    </row>
    <row r="22" spans="1:3">
      <c r="A22" s="14" t="s">
        <v>14</v>
      </c>
      <c r="B22" s="16">
        <v>16052685</v>
      </c>
    </row>
    <row r="23" spans="1:3">
      <c r="A23" s="14" t="s">
        <v>26</v>
      </c>
      <c r="B23" s="15">
        <v>16052685</v>
      </c>
    </row>
    <row r="35" spans="1:2">
      <c r="A35" s="12" t="s">
        <v>25</v>
      </c>
      <c r="B35" t="s">
        <v>27</v>
      </c>
    </row>
    <row r="36" spans="1:2">
      <c r="A36" s="14" t="s">
        <v>16</v>
      </c>
      <c r="B36" s="15">
        <v>8033528</v>
      </c>
    </row>
    <row r="37" spans="1:2">
      <c r="A37" s="14" t="s">
        <v>8</v>
      </c>
      <c r="B37" s="15">
        <v>1085262</v>
      </c>
    </row>
    <row r="38" spans="1:2">
      <c r="A38" s="14" t="s">
        <v>20</v>
      </c>
      <c r="B38" s="15">
        <v>5474977</v>
      </c>
    </row>
    <row r="39" spans="1:2">
      <c r="A39" s="14" t="s">
        <v>13</v>
      </c>
      <c r="B39" s="15">
        <v>481552</v>
      </c>
    </row>
    <row r="40" spans="1:2">
      <c r="A40" s="14" t="s">
        <v>17</v>
      </c>
      <c r="B40" s="15">
        <v>492878</v>
      </c>
    </row>
    <row r="41" spans="1:2">
      <c r="A41" s="14" t="s">
        <v>22</v>
      </c>
      <c r="B41" s="15">
        <v>484488</v>
      </c>
    </row>
    <row r="42" spans="1:2">
      <c r="A42" s="14" t="s">
        <v>26</v>
      </c>
      <c r="B42" s="15">
        <v>16052685</v>
      </c>
    </row>
    <row r="56" spans="1:4">
      <c r="A56" t="s">
        <v>27</v>
      </c>
      <c r="D56">
        <f>GETPIVOTDATA("Amount",$A$56)</f>
        <v>16052685</v>
      </c>
    </row>
    <row r="57" spans="1:4">
      <c r="A57" s="15">
        <v>16052685</v>
      </c>
    </row>
    <row r="62" spans="1:4">
      <c r="A62" t="s">
        <v>28</v>
      </c>
      <c r="D62">
        <f>GETPIVOTDATA("Amount",$A$62)</f>
        <v>56</v>
      </c>
    </row>
    <row r="63" spans="1:4">
      <c r="A63" s="15">
        <v>56</v>
      </c>
    </row>
    <row r="69" spans="1:3">
      <c r="A69" s="12" t="s">
        <v>25</v>
      </c>
      <c r="B69" t="s">
        <v>29</v>
      </c>
      <c r="C69" s="12"/>
    </row>
    <row r="70" spans="1:3">
      <c r="A70" s="14" t="s">
        <v>16</v>
      </c>
      <c r="B70" s="15">
        <v>334</v>
      </c>
    </row>
    <row r="71" spans="1:3">
      <c r="A71" s="14" t="s">
        <v>22</v>
      </c>
      <c r="B71" s="15">
        <v>310</v>
      </c>
    </row>
    <row r="72" spans="1:3">
      <c r="A72" s="14" t="s">
        <v>8</v>
      </c>
      <c r="B72" s="15">
        <v>244</v>
      </c>
    </row>
    <row r="73" spans="1:3">
      <c r="A73" s="14" t="s">
        <v>26</v>
      </c>
      <c r="B73" s="15">
        <v>888</v>
      </c>
    </row>
    <row r="77" spans="1:3">
      <c r="A77" s="12" t="s">
        <v>25</v>
      </c>
      <c r="B77" t="s">
        <v>29</v>
      </c>
      <c r="C77" s="12"/>
    </row>
    <row r="78" spans="1:3">
      <c r="A78" s="14" t="s">
        <v>16</v>
      </c>
      <c r="B78" s="15">
        <v>334</v>
      </c>
    </row>
    <row r="79" spans="1:3">
      <c r="A79" s="14" t="s">
        <v>22</v>
      </c>
      <c r="B79" s="15">
        <v>310</v>
      </c>
    </row>
    <row r="80" spans="1:3">
      <c r="A80" s="14" t="s">
        <v>8</v>
      </c>
      <c r="B80" s="15">
        <v>244</v>
      </c>
    </row>
    <row r="81" spans="1:2">
      <c r="A81" s="14" t="s">
        <v>26</v>
      </c>
      <c r="B81" s="15">
        <v>888</v>
      </c>
    </row>
    <row r="90" spans="1:2">
      <c r="A90" s="12" t="s">
        <v>25</v>
      </c>
      <c r="B90" t="s">
        <v>29</v>
      </c>
    </row>
    <row r="91" spans="1:2">
      <c r="A91" s="14" t="s">
        <v>16</v>
      </c>
      <c r="B91" s="15">
        <v>334</v>
      </c>
    </row>
    <row r="92" spans="1:2">
      <c r="A92" s="14" t="s">
        <v>8</v>
      </c>
      <c r="B92" s="15">
        <v>244</v>
      </c>
    </row>
    <row r="93" spans="1:2">
      <c r="A93" s="14" t="s">
        <v>20</v>
      </c>
      <c r="B93" s="15">
        <v>216</v>
      </c>
    </row>
    <row r="94" spans="1:2">
      <c r="A94" s="14" t="s">
        <v>13</v>
      </c>
      <c r="B94" s="15">
        <v>230</v>
      </c>
    </row>
    <row r="95" spans="1:2">
      <c r="A95" s="14" t="s">
        <v>17</v>
      </c>
      <c r="B95" s="15">
        <v>178</v>
      </c>
    </row>
    <row r="96" spans="1:2">
      <c r="A96" s="14" t="s">
        <v>22</v>
      </c>
      <c r="B96" s="15">
        <v>310</v>
      </c>
    </row>
    <row r="97" spans="1:2">
      <c r="A97" s="14" t="s">
        <v>26</v>
      </c>
      <c r="B97" s="15">
        <v>1512</v>
      </c>
    </row>
    <row r="104" spans="1:2">
      <c r="A104" s="12" t="s">
        <v>25</v>
      </c>
      <c r="B104" t="s">
        <v>29</v>
      </c>
    </row>
    <row r="105" spans="1:2">
      <c r="A105" s="14" t="s">
        <v>19</v>
      </c>
      <c r="B105" s="15">
        <v>327</v>
      </c>
    </row>
    <row r="106" spans="1:2">
      <c r="A106" s="14" t="s">
        <v>12</v>
      </c>
      <c r="B106" s="15">
        <v>251</v>
      </c>
    </row>
    <row r="107" spans="1:2">
      <c r="A107" s="14" t="s">
        <v>10</v>
      </c>
      <c r="B107" s="15">
        <v>289</v>
      </c>
    </row>
    <row r="108" spans="1:2">
      <c r="A108" s="14" t="s">
        <v>15</v>
      </c>
      <c r="B108" s="15">
        <v>67</v>
      </c>
    </row>
    <row r="109" spans="1:2">
      <c r="A109" s="14" t="s">
        <v>23</v>
      </c>
      <c r="B109" s="15">
        <v>392</v>
      </c>
    </row>
    <row r="110" spans="1:2">
      <c r="A110" s="14" t="s">
        <v>7</v>
      </c>
      <c r="B110" s="15">
        <v>186</v>
      </c>
    </row>
    <row r="111" spans="1:2">
      <c r="A111" s="14" t="s">
        <v>26</v>
      </c>
      <c r="B111" s="15">
        <v>1512</v>
      </c>
    </row>
    <row r="121" spans="1:2">
      <c r="A121" s="12" t="s">
        <v>25</v>
      </c>
      <c r="B121" t="s">
        <v>29</v>
      </c>
    </row>
    <row r="122" spans="1:2">
      <c r="A122" s="14" t="s">
        <v>10</v>
      </c>
      <c r="B122" s="15">
        <v>289</v>
      </c>
    </row>
    <row r="123" spans="1:2">
      <c r="A123" s="14" t="s">
        <v>19</v>
      </c>
      <c r="B123" s="15">
        <v>327</v>
      </c>
    </row>
    <row r="124" spans="1:2">
      <c r="A124" s="14" t="s">
        <v>23</v>
      </c>
      <c r="B124" s="15">
        <v>392</v>
      </c>
    </row>
    <row r="125" spans="1:2">
      <c r="A125" s="14" t="s">
        <v>26</v>
      </c>
      <c r="B125" s="15">
        <v>1008</v>
      </c>
    </row>
    <row r="134" spans="1:2">
      <c r="A134" s="12" t="s">
        <v>25</v>
      </c>
      <c r="B134" t="s">
        <v>29</v>
      </c>
    </row>
    <row r="135" spans="1:2">
      <c r="A135" s="14" t="s">
        <v>12</v>
      </c>
      <c r="B135" s="15">
        <v>251</v>
      </c>
    </row>
    <row r="136" spans="1:2">
      <c r="A136" s="14" t="s">
        <v>7</v>
      </c>
      <c r="B136" s="15">
        <v>186</v>
      </c>
    </row>
    <row r="137" spans="1:2">
      <c r="A137" s="14" t="s">
        <v>15</v>
      </c>
      <c r="B137" s="15">
        <v>67</v>
      </c>
    </row>
    <row r="138" spans="1:2">
      <c r="A138" s="14" t="s">
        <v>26</v>
      </c>
      <c r="B138" s="15">
        <v>504</v>
      </c>
    </row>
  </sheetData>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PRODUCTS</vt:lpstr>
      <vt:lpstr>sales_mans</vt:lpstr>
      <vt:lpstr>About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HP</cp:lastModifiedBy>
  <dcterms:created xsi:type="dcterms:W3CDTF">2025-01-28T12:35:12Z</dcterms:created>
  <dcterms:modified xsi:type="dcterms:W3CDTF">2026-10-11T05:00:48Z</dcterms:modified>
</cp:coreProperties>
</file>